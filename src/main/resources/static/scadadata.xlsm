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B7FE6334-C1A2-E50D-BD3D-5F4D41BBC2E3}"/>
  <workbookPr filterPrivacy="1" codeName="ThisWorkbook" defaultThemeVersion="124226"/>
  <bookViews>
    <workbookView xWindow="240" yWindow="105" windowWidth="3450" windowHeight="3045" tabRatio="335"/>
  </bookViews>
  <sheets>
    <sheet name="SiemenScada" sheetId="1" r:id="rId1"/>
  </sheets>
  <externalReferences>
    <externalReference r:id="rId2"/>
  </externalReferences>
  <calcPr calcId="124519"/>
  <fileRecoveryPr autoRecover="0"/>
</workbook>
</file>

<file path=xl/calcChain.xml><?xml version="1.0" encoding="utf-8"?>
<calcChain xmlns="http://schemas.openxmlformats.org/spreadsheetml/2006/main">
  <c r="G622" i="1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84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F622"/>
  <c r="F621"/>
  <c r="F620"/>
  <c r="F619"/>
  <c r="F618"/>
  <c r="F617"/>
  <c r="F616"/>
  <c r="F615"/>
  <c r="F614"/>
  <c r="F613"/>
  <c r="F612"/>
  <c r="F611"/>
  <c r="F610"/>
  <c r="F609"/>
  <c r="F608"/>
  <c r="F607"/>
  <c r="F606"/>
  <c r="F605"/>
  <c r="F604"/>
  <c r="F603"/>
  <c r="F602"/>
  <c r="F601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84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84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84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C82"/>
  <c r="H5" l="1"/>
  <c r="H37"/>
  <c r="H47"/>
  <c r="H67"/>
  <c r="H3"/>
  <c r="H29"/>
  <c r="H45"/>
  <c r="H23"/>
  <c r="H33"/>
  <c r="H2"/>
  <c r="H46"/>
  <c r="H72" l="1"/>
</calcChain>
</file>

<file path=xl/comments1.xml><?xml version="1.0" encoding="utf-8"?>
<comments xmlns="http://schemas.openxmlformats.org/spreadsheetml/2006/main">
  <authors>
    <author>Author</author>
  </authors>
  <commentList>
    <comment ref="A69" authorId="0">
      <text>
        <r>
          <rPr>
            <b/>
            <sz val="8"/>
            <color indexed="81"/>
            <rFont val="Tahoma"/>
            <family val="2"/>
          </rPr>
          <t>Author:
Freq</t>
        </r>
      </text>
    </comment>
    <comment ref="B70" authorId="0">
      <text>
        <r>
          <rPr>
            <b/>
            <sz val="8"/>
            <color indexed="81"/>
            <rFont val="Tahoma"/>
            <family val="2"/>
          </rPr>
          <t>Author:
00006730</t>
        </r>
      </text>
    </comment>
    <comment ref="H78" authorId="0">
      <text>
        <r>
          <rPr>
            <b/>
            <u/>
            <sz val="8"/>
            <color indexed="81"/>
            <rFont val="Tahoma"/>
            <family val="2"/>
          </rPr>
          <t>updated at</t>
        </r>
      </text>
    </comment>
    <comment ref="H79" authorId="0">
      <text>
        <r>
          <rPr>
            <b/>
            <sz val="8"/>
            <color indexed="81"/>
            <rFont val="Tahoma"/>
            <family val="2"/>
          </rPr>
          <t>Last updation at</t>
        </r>
      </text>
    </comment>
    <comment ref="H80" authorId="0">
      <text>
        <r>
          <rPr>
            <b/>
            <sz val="11"/>
            <color theme="1"/>
            <rFont val="Calibri"/>
            <family val="2"/>
            <scheme val="minor"/>
          </rPr>
          <t>next updation at</t>
        </r>
      </text>
    </comment>
  </commentList>
</comments>
</file>

<file path=xl/sharedStrings.xml><?xml version="1.0" encoding="utf-8"?>
<sst xmlns="http://schemas.openxmlformats.org/spreadsheetml/2006/main" count="541" uniqueCount="537">
  <si>
    <t>DdeItem</t>
  </si>
  <si>
    <t>PointsID</t>
  </si>
  <si>
    <t>Time</t>
  </si>
  <si>
    <t>Value</t>
  </si>
  <si>
    <t>Flag</t>
  </si>
  <si>
    <t>psebi_ps.pl.ubdc123_ps.mw/rate=10</t>
  </si>
  <si>
    <t>tldtp_ps.xfmr_p.fa_t01.mw/rate=10</t>
  </si>
  <si>
    <t>tldtp_ps.xfmr_p.fa_t02.mw/rate=10</t>
  </si>
  <si>
    <t>rjpts_ps.xfmr_p.fa_t01.mw/rate=10</t>
  </si>
  <si>
    <t>rjpts_ps.xfmr_p.fa_t02.mw/rate=10</t>
  </si>
  <si>
    <t>nrldc_pg.shdl.uttr_s.mw/rate=10</t>
  </si>
  <si>
    <t>nrldc_pg.shdl.UPPCL_s.mw/rate=10</t>
  </si>
  <si>
    <t>nrldc_pg.shdl.RRVPNL_s.mw/rate=10</t>
  </si>
  <si>
    <t>nrldc_pg.shdl.pseb_s.mw/rate=10</t>
  </si>
  <si>
    <t>nrldc_pg.shdl.jkseb_s.mw/rate=10</t>
  </si>
  <si>
    <t>nrldc_pg.shdl.HVPNL_s.mw/rate=10</t>
  </si>
  <si>
    <t>nrldc_pg.shdl.HPSEB_s.mw/rate=10</t>
  </si>
  <si>
    <t>nrldc_pg.shdl.DVB_s.mw/rate=10</t>
  </si>
  <si>
    <t>nrldc_pg.shdl.CHND_s.mw/rate=10</t>
  </si>
  <si>
    <t>nrldc_pg.line.uttr_od_ud.mw/rate=10</t>
  </si>
  <si>
    <t>nrldc_pg.line.uttr_drwl.mw/rate=10</t>
  </si>
  <si>
    <t>nrldc_pg.line.UPPCL_od_ud.mw/rate=10</t>
  </si>
  <si>
    <t>nrldc_pg.line.UPPCL_drwl.mw/rate=10</t>
  </si>
  <si>
    <t>nrldc_pg.line.RRVPNL_od_ud.mw/rate=10</t>
  </si>
  <si>
    <t>nrldc_pg.line.CHND_od_ud.mw/rate=10</t>
  </si>
  <si>
    <t>nrldc_pg.line.CHND_drwl.mw/rate=10</t>
  </si>
  <si>
    <t>ggstp_ps.xfmr_p.ea_t01.mw/rate=10</t>
  </si>
  <si>
    <t>ggstp_ps.xfmr_p.ea_t06.mw/rate=10</t>
  </si>
  <si>
    <t>ggstp_ps.xfmr_p.ea_t05.mw/rate=10</t>
  </si>
  <si>
    <t>ggstp_ps.xfmr_p.ea_t04.mw/rate=10</t>
  </si>
  <si>
    <t>ggstp_ps.xfmr_p.ea_t03.mw/rate=10</t>
  </si>
  <si>
    <t>ggstp_ps.xfmr_p.ea_t02.mw/rate=10</t>
  </si>
  <si>
    <t>gndtp_ps.xfmr_p.da_t01.mw/rate=10</t>
  </si>
  <si>
    <t>gndtp_ps.xfmr_p.da_t02.mw/rate=10</t>
  </si>
  <si>
    <t>gndtp_ps.xfmr_p.ea_t04.mw/rate=10</t>
  </si>
  <si>
    <t>gndtp_ps.xfmr_p.ea_t03.mw/rate=10</t>
  </si>
  <si>
    <t>ghtp__ps.xfmr_p.ea_t02.mw/rate=10</t>
  </si>
  <si>
    <t>ghtp__ps.xfmr_p.ea_t04.mw/rate=10</t>
  </si>
  <si>
    <t>ghtp__ps.xfmr_p.ea_t03.mw/rate=10</t>
  </si>
  <si>
    <t>ghtp__ps.xfmr_p.ea_t01.mw/rate=10</t>
  </si>
  <si>
    <t>rsdph_ps.unit.e_h04.mw/rate=10</t>
  </si>
  <si>
    <t>rsdph_ps.unit.e_h03.mw/rate=10</t>
  </si>
  <si>
    <t>rsdph_ps.unit.e_h02.mw/rate=10</t>
  </si>
  <si>
    <t>rsdph_ps.unit.e_h01.mw/rate=10</t>
  </si>
  <si>
    <t>psebi_ps.pl.generation_ps.mw/rate=10</t>
  </si>
  <si>
    <t>psebi_ps.pl.ggstp_ps.mw/rate=10</t>
  </si>
  <si>
    <t>psebi_ps.pl.ghtp__ps.mw/rate=10</t>
  </si>
  <si>
    <t>psebi_ps.pl.gndtp_ps.mw/rate=10</t>
  </si>
  <si>
    <t>psebi_ps.pl.jogin_ps.mw/rate=10</t>
  </si>
  <si>
    <t>psebi_ps.pl.muk1234_ps.mw/rate=10</t>
  </si>
  <si>
    <t>gwltp_ps.unit.e_t01.mw/rate=10</t>
  </si>
  <si>
    <t>gwltp_ps.unit.e_t02.mw/rate=10</t>
  </si>
  <si>
    <t>nrldc_pg.ld.uttr_load.mw/rate=10</t>
  </si>
  <si>
    <t>nrldc_pg.ld.UPPCL_load.mw/rate=10</t>
  </si>
  <si>
    <t>nrldc_pg.ld.RRVPNL_load.mw/rate=10</t>
  </si>
  <si>
    <t>nrldc_pg.ld.pseb_load.mw/rate=10</t>
  </si>
  <si>
    <t>nrldc_pg.ld.jkseb_load.mw/rate=10</t>
  </si>
  <si>
    <t>nrldc_pg.ld.HVPNL_load.mw/rate=10</t>
  </si>
  <si>
    <t>nrldc_pg.ld.HPSEB_load.mw/rate=10</t>
  </si>
  <si>
    <t>nrldc_pg.ld.DVB_load.mw/rate=10</t>
  </si>
  <si>
    <t>nrldc_pg.line.RRVPNL_drwl.mw/rate=10</t>
  </si>
  <si>
    <t>nrldc_pg.line.pseb_od_ud.mw/rate=10</t>
  </si>
  <si>
    <t>nrldc_pg.line.jkseb_od_ud.mw/rate=10</t>
  </si>
  <si>
    <t>nrldc_pg.line.jkseb_drwl.mw/rate=10</t>
  </si>
  <si>
    <t>nrldc_pg.line.HVPNL_od_ud.mw/rate=10</t>
  </si>
  <si>
    <t>nrldc_pg.line.HVPNL_drwl.mw/rate=10</t>
  </si>
  <si>
    <t>nrldc_pg.line.HPSEB_od_ud.mw/rate=10</t>
  </si>
  <si>
    <t>nrldc_pg.line.HPSEB_drwl.mw/rate=10</t>
  </si>
  <si>
    <t>nrldc_pg.line.DVB_drwl.mw/rate=10</t>
  </si>
  <si>
    <t>psebi_ps.pl.ashp1_ps.mw/rate=10</t>
  </si>
  <si>
    <t>psebi_ps.pl.ashp2_ps.mw/rate=10</t>
  </si>
  <si>
    <t>BBPS.SCADA01.00001065</t>
  </si>
  <si>
    <t>BBPS.SCADA01.00006140</t>
  </si>
  <si>
    <t>BBPS.SCADA01.00006143</t>
  </si>
  <si>
    <t>BBPS.SCADA01.00006950</t>
  </si>
  <si>
    <t>BBPS.SCADA01.00006953</t>
  </si>
  <si>
    <t>BBPS.SCADA01.00011304</t>
  </si>
  <si>
    <t>BBPS.SCADA01.00011307</t>
  </si>
  <si>
    <t>BBPS.SCADA01.00011330</t>
  </si>
  <si>
    <t>BBPS.SCADA01.00011345</t>
  </si>
  <si>
    <t>BBPS.SCADA01.00011372</t>
  </si>
  <si>
    <t>BBPS.SCADA01.00011376</t>
  </si>
  <si>
    <t>BBPS.SCADA01.00011378</t>
  </si>
  <si>
    <t>BBPS.SCADA01.00011383</t>
  </si>
  <si>
    <t>BBPS.SCADA01.00011400</t>
  </si>
  <si>
    <t>BBPS.SCADA01.00012150</t>
  </si>
  <si>
    <t>BBPS.SCADA01.00012155</t>
  </si>
  <si>
    <t>BBPS.SCADA01.00012161</t>
  </si>
  <si>
    <t>BBPS.SCADA01.00012174</t>
  </si>
  <si>
    <t>BBPS.SCADA01.00012183</t>
  </si>
  <si>
    <t>BBPS.SCADA01.00012406</t>
  </si>
  <si>
    <t>BBPS.SCADA01.00012410</t>
  </si>
  <si>
    <t>BBPS.SCADA01.00311661</t>
  </si>
  <si>
    <t>BBPS.SCADA01.00311675</t>
  </si>
  <si>
    <t>BBPS.SCADA01.00311684</t>
  </si>
  <si>
    <t>BBPS.SCADA01.00311695</t>
  </si>
  <si>
    <t>BBPS.SCADA01.00311709</t>
  </si>
  <si>
    <t>BBPS.SCADA01.00311715</t>
  </si>
  <si>
    <t>BBPS.SCADA01.00311865</t>
  </si>
  <si>
    <t>BBPS.SCADA01.00311871</t>
  </si>
  <si>
    <t>BBPS.SCADA01.00311905</t>
  </si>
  <si>
    <t>BBPS.SCADA01.00311908</t>
  </si>
  <si>
    <t>BBPS.SCADA01.00312941</t>
  </si>
  <si>
    <t>BBPS.SCADA01.00312961</t>
  </si>
  <si>
    <t>BBPS.SCADA01.00312970</t>
  </si>
  <si>
    <t>BBPS.SCADA01.00312991</t>
  </si>
  <si>
    <t>BBPS.SCADA01.00313330</t>
  </si>
  <si>
    <t>BBPS.SCADA01.00313333</t>
  </si>
  <si>
    <t>BBPS.SCADA01.00314196</t>
  </si>
  <si>
    <t>BBPS.SCADA01.00314199</t>
  </si>
  <si>
    <t>BBPS.SCADA02.00001033</t>
  </si>
  <si>
    <t>BBPS.SCADA02.00001034</t>
  </si>
  <si>
    <t>BBPS.SCADA02.00001036</t>
  </si>
  <si>
    <t>BBPS.SCADA02.00001038</t>
  </si>
  <si>
    <t>BBPS.SCADA02.00001044</t>
  </si>
  <si>
    <t>BBPS.SCADA02.00001048</t>
  </si>
  <si>
    <t>BBPS.SCADA02.00006815</t>
  </si>
  <si>
    <t>BBPS.SCADA02.00006830</t>
  </si>
  <si>
    <t>BBPS.SCADA02.00011423</t>
  </si>
  <si>
    <t>BBPS.SCADA02.00011427</t>
  </si>
  <si>
    <t>BBPS.SCADA02.00011430</t>
  </si>
  <si>
    <t>BBPS.SCADA02.00011432</t>
  </si>
  <si>
    <t>BBPS.SCADA02.00011434</t>
  </si>
  <si>
    <t>BBPS.SCADA02.00011436</t>
  </si>
  <si>
    <t>BBPS.SCADA02.00011438</t>
  </si>
  <si>
    <t>BBPS.SCADA02.00011440</t>
  </si>
  <si>
    <t>BBPS.SCADA02.00012187</t>
  </si>
  <si>
    <t>BBPS.SCADA02.00012190</t>
  </si>
  <si>
    <t>BBPS.SCADA02.00012219</t>
  </si>
  <si>
    <t>BBPS.SCADA02.00012223</t>
  </si>
  <si>
    <t>BBPS.SCADA02.00012228</t>
  </si>
  <si>
    <t>BBPS.SCADA02.00012242</t>
  </si>
  <si>
    <t>BBPS.SCADA02.00012249</t>
  </si>
  <si>
    <t>BBPS.SCADA02.00012275</t>
  </si>
  <si>
    <t>BBPS.SCADA02.00052933</t>
  </si>
  <si>
    <t>BBPS.SCADA02.00052934</t>
  </si>
  <si>
    <t>BBPS.SCADA02.00054390</t>
  </si>
  <si>
    <t>BBPS.SCADA02.00012200</t>
  </si>
  <si>
    <t>bgarh_ps.bus.e_b1.hz/rate=10</t>
  </si>
  <si>
    <t>nrldc_pg.line.pseb_drwl.mw/rate=10</t>
  </si>
  <si>
    <t>*/Rate=10</t>
  </si>
  <si>
    <t>BBPS.SCADA01.00296276</t>
  </si>
  <si>
    <t>BBPS.SCADA01.00314507</t>
  </si>
  <si>
    <t>BBPS.SCADA01.00006255</t>
  </si>
  <si>
    <t>BBPS.SCADA01.00310504</t>
  </si>
  <si>
    <t>BBPS.SCADA01.00311823</t>
  </si>
  <si>
    <t>Frequency_Rajpura</t>
  </si>
  <si>
    <t>Frequency_Ablowal</t>
  </si>
  <si>
    <t>Frequency_LaltonKalan</t>
  </si>
  <si>
    <t>Frequency_Jamsher</t>
  </si>
  <si>
    <t>Frequency_Sarna</t>
  </si>
  <si>
    <t>BBPS.SCADA02.00012255</t>
  </si>
  <si>
    <t>BBPS.SCADA02.00012263</t>
  </si>
  <si>
    <t>nrldc_pg.line.DVB_od_ud.mw/rate=10</t>
  </si>
  <si>
    <t>BBPS.SCADA01.00006146</t>
  </si>
  <si>
    <t>tldtp_ps.xfmr_p.fa_t03.mw/rate=10</t>
  </si>
  <si>
    <t>BBPS.SCADA03.00259757</t>
  </si>
  <si>
    <t>BBPS.SCADA03.00255898</t>
  </si>
  <si>
    <t>BBPS.SCADA03.00260586</t>
  </si>
  <si>
    <t>SPP_Radha_Soami_Satsang_Beas</t>
  </si>
  <si>
    <t>SPP_Adani</t>
  </si>
  <si>
    <t>SPP_Malwa</t>
  </si>
  <si>
    <t>SPP_Prayatna_Developers_P1_Sardagarh</t>
  </si>
  <si>
    <t>SPP_Prayatna_Developers_P2_Chugkela</t>
  </si>
  <si>
    <t>SPP_RSSB_P1</t>
  </si>
  <si>
    <t>SPP_RSSB_P2</t>
  </si>
  <si>
    <t>SPP_RSSB_P3</t>
  </si>
  <si>
    <t>SPP_Azure_Urja_1</t>
  </si>
  <si>
    <t>SPP_Azure_Urja_2</t>
  </si>
  <si>
    <t>SPP_Azure_Urja_3</t>
  </si>
  <si>
    <t>SPP_Azure_Power_Make_India</t>
  </si>
  <si>
    <t>SPP_Azure_Power_Pluto_Vanwala</t>
  </si>
  <si>
    <t>SPP_Azure_Power_Pluto_Bahadurkhera</t>
  </si>
  <si>
    <t>SPP_Azure_Power_Pluto_Badal</t>
  </si>
  <si>
    <t>SPP_Azure_Power_Pluto_Bhittiwala</t>
  </si>
  <si>
    <t>SPP_ALLIANZ_ECOPOWER</t>
  </si>
  <si>
    <t>SPP_CARLILL_ENERGY</t>
  </si>
  <si>
    <t>SPP_IK_ENERGY</t>
  </si>
  <si>
    <t>SPP_JSSK_ENERGY</t>
  </si>
  <si>
    <t>SPP_MAGNIFICIENT_POWER</t>
  </si>
  <si>
    <t>SPP_TATA_POWER_PI_Teona_Pujaria</t>
  </si>
  <si>
    <t>SPP_TATA_POWER_P2_Teona_Pujaria</t>
  </si>
  <si>
    <t>SPP_TATA_POWER_P3_Teona_Pujaria</t>
  </si>
  <si>
    <t>BBPS.SCADA03.00255765</t>
  </si>
  <si>
    <t>BBPS.SCADA03.00255768</t>
  </si>
  <si>
    <t>BBPS.SCADA03.00256470</t>
  </si>
  <si>
    <t>BBPS.SCADA03.00256471</t>
  </si>
  <si>
    <t>BBPS.SCADA03.00259170</t>
  </si>
  <si>
    <t>BBPS.SCADA03.00259437</t>
  </si>
  <si>
    <t>BBPS.SCADA03.00162288</t>
  </si>
  <si>
    <t>BBPS.SCADA03.00162872</t>
  </si>
  <si>
    <t>BBPS.SCADA03.00162899</t>
  </si>
  <si>
    <t>BBPS.SCADA03.00255899</t>
  </si>
  <si>
    <t>BBPS.SCADA03.00259624</t>
  </si>
  <si>
    <t>BBPS.SCADA03.00259623</t>
  </si>
  <si>
    <t>BBPS.SCADA03.00259622</t>
  </si>
  <si>
    <t>BBPS.SCADA03.00259626</t>
  </si>
  <si>
    <t>BBPS.SCADA03.00259625</t>
  </si>
  <si>
    <t>BBPS.SCADA03.00259654</t>
  </si>
  <si>
    <t>BBPS.SCADA03.00259672</t>
  </si>
  <si>
    <t>BBPS.SCADA03.00259661</t>
  </si>
  <si>
    <t>BBPS.SCADA03.00259685</t>
  </si>
  <si>
    <t>BBPS.SCADA03.00259709</t>
  </si>
  <si>
    <t>BBPS.SCADA03.00259730</t>
  </si>
  <si>
    <t>BBPS.SCADA03.00259456</t>
  </si>
  <si>
    <t>BBPS.SCADA03.00259463</t>
  </si>
  <si>
    <t>BBPS.SCADA03.00259470</t>
  </si>
  <si>
    <t>BBPS.SCADA03.00259477</t>
  </si>
  <si>
    <t>BBPS.SCADA03.00259484</t>
  </si>
  <si>
    <t>BBPS.SCADA03.00259491</t>
  </si>
  <si>
    <t>BBPS.SCADA03.00259498</t>
  </si>
  <si>
    <t>BBPS.SCADA03.00259675</t>
  </si>
  <si>
    <t>BBPS.SCADA03.00259338</t>
  </si>
  <si>
    <t>BBPS.SCADA03.00260629</t>
  </si>
  <si>
    <t>BBPS.SCADA03.00260539</t>
  </si>
  <si>
    <t>BBPS.SCADA03.00260525</t>
  </si>
  <si>
    <t>BBPS.SCADA03.00260565</t>
  </si>
  <si>
    <t>BBPS.SCADA03.00260562</t>
  </si>
  <si>
    <t>BBPS.SCADA03.00260544</t>
  </si>
  <si>
    <t>BBPS.SCADA04.00353636</t>
  </si>
  <si>
    <t>BBPS.SCADA03.00260555</t>
  </si>
  <si>
    <t>BBPS.SCADA03.00260574</t>
  </si>
  <si>
    <t>BBPS.SCADA03.00260532</t>
  </si>
  <si>
    <t>BBPS.SCADA03.00259836</t>
  </si>
  <si>
    <t>BBPS.SCADA03.00259801</t>
  </si>
  <si>
    <t>BBPS.SCADA03.00259871</t>
  </si>
  <si>
    <t>BBPS.SCADA04.00353598</t>
  </si>
  <si>
    <t>SPP_Azure_Power_Pluto_Korianwali_Banwala</t>
  </si>
  <si>
    <t>SPP_Azure_Power_Pluto_Jandian1</t>
  </si>
  <si>
    <t>SPP_Azure_Power_Pluto_Jandian2</t>
  </si>
  <si>
    <t>SPP_Continental_Power</t>
  </si>
  <si>
    <t>SPP_NEXTGEN_SOLUX_POWER1</t>
  </si>
  <si>
    <t>SPP_NEXTGEN_SOLUX_POWER2</t>
  </si>
  <si>
    <t>SPP_TR_ENERGY_&amp;_AGRO1</t>
  </si>
  <si>
    <t>SPP_TR_ENERGY_&amp;_AGRO2</t>
  </si>
  <si>
    <t>SPP_Malwa_Power</t>
  </si>
  <si>
    <t>SPP_Atma_Powers</t>
  </si>
  <si>
    <t>SPP_M/s_Azure_Power_Make_Bhittiwala</t>
  </si>
  <si>
    <t>SPP_M/s_Clean_Energy_Unit_1_Mansa</t>
  </si>
  <si>
    <t>BBPS.SCADA03.00260409</t>
  </si>
  <si>
    <t>SPP_M/s_Clean_Energy_Unit_2_Mansa</t>
  </si>
  <si>
    <t>BBPS.SCADA03.00260413</t>
  </si>
  <si>
    <t>SPP_M/s_Clean_Energy_Unit_3_Mansa</t>
  </si>
  <si>
    <t>BBPS.SCADA03.00260417</t>
  </si>
  <si>
    <t>SPP_M/s_Clean_Energy_Unit_4_Mansa</t>
  </si>
  <si>
    <t>BBPS.SCADA03.00260423</t>
  </si>
  <si>
    <t>SPP_M/s_Clean_Energy_Unit_5_Mansa</t>
  </si>
  <si>
    <t>BBPS.SCADA03.00260425</t>
  </si>
  <si>
    <t>SPP_M/s_Clean_Energy_Unit_6_Mansa</t>
  </si>
  <si>
    <t>BBPS.SCADA03.00260429</t>
  </si>
  <si>
    <t>SPP_M/s_Clean_Energy_Unit_7_Mansa</t>
  </si>
  <si>
    <t>BBPS.SCADA03.00260433</t>
  </si>
  <si>
    <t>SPP_M/s_Clean_Energy_Unit_8_Mansa</t>
  </si>
  <si>
    <t>BBPS.SCADA03.00260437</t>
  </si>
  <si>
    <t>SPP_M/s_Aditya_Mediasles_Lalpur</t>
  </si>
  <si>
    <t>BBPS.SCADA03.00189175</t>
  </si>
  <si>
    <t>SPP_M/s_Purshotam_Industries_Ltd</t>
  </si>
  <si>
    <t>BBPS.SCADA04.00426816</t>
  </si>
  <si>
    <t>SPP_M/s AB Sugar Plant (BIOMASS)</t>
  </si>
  <si>
    <t>BBPS.SCADA04.00353605</t>
  </si>
  <si>
    <t>SPP_M/s Omega_Unit_1</t>
  </si>
  <si>
    <t>BBPS.SCADA04.00353535</t>
  </si>
  <si>
    <t>SPP_M/s Omega_Unit_2</t>
  </si>
  <si>
    <t>BBPS.SCADA04.00353532</t>
  </si>
  <si>
    <t>SPP_M/s Mytrah_Balran</t>
  </si>
  <si>
    <t>BBPS.SCADA03.00259346</t>
  </si>
  <si>
    <t>SPP_M/s Mytrah_Bareta</t>
  </si>
  <si>
    <t>BBPS.SCADA03.00259541</t>
  </si>
  <si>
    <t>SPP_M/s North Star_Pathrala</t>
  </si>
  <si>
    <t>SPP_M/s DEE Deveolment Engineers Ltd. (BIOAMASS)</t>
  </si>
  <si>
    <t>SPP_M/s Bhanu Infra</t>
  </si>
  <si>
    <t>BBPS.SCADA04.00426643</t>
  </si>
  <si>
    <t>SPP_M/s Bhanu Ind Development</t>
  </si>
  <si>
    <t>BBPS.SCADA04.00426709</t>
  </si>
  <si>
    <t>SPP_M/s Aster_Jhunir</t>
  </si>
  <si>
    <t>BBPS.SCADA04.00426874</t>
  </si>
  <si>
    <t>SPP_M/s Focal_Energy Nangla</t>
  </si>
  <si>
    <t>BBPS.SCADA04.00426833</t>
  </si>
  <si>
    <t>SPP_M/s Monika_Energy Boha</t>
  </si>
  <si>
    <t>BBPS.SCADA04.00426860</t>
  </si>
  <si>
    <t>SPP_M/s GS_Atwal Bhuttiwala</t>
  </si>
  <si>
    <t>BBPS.SCADA04.00426790</t>
  </si>
  <si>
    <t>SPP_M/s Ecoenergy Boparaikalan</t>
  </si>
  <si>
    <t>BBPS.SCADA04.00426885</t>
  </si>
  <si>
    <t>BBPS.SCADA04.00426923</t>
  </si>
  <si>
    <t>SPP_Prayatna_Developers_Total</t>
  </si>
  <si>
    <t>SPP_RSSB_Total</t>
  </si>
  <si>
    <t>SPP_P.L.Surya_Urja_Boha_Unit-1</t>
  </si>
  <si>
    <t>BBPS.SCADA03.00162259</t>
  </si>
  <si>
    <t>SPP_P.L.Surya_Urja_Boha_Unit-2</t>
  </si>
  <si>
    <t>BBPS.SCADA03.00162270</t>
  </si>
  <si>
    <t>SPP_TATA_POWER_Total</t>
  </si>
  <si>
    <t>BBPS.SCADA03.00255996</t>
  </si>
  <si>
    <t>BBPS.SCADA03.00255991</t>
  </si>
  <si>
    <t>BBPS.SCADA03.00255988</t>
  </si>
  <si>
    <t>BBPS.SCADA03.00255985</t>
  </si>
  <si>
    <t>BBPS.SCADA03.00255944</t>
  </si>
  <si>
    <t>BBPS.SCADA03.00255949</t>
  </si>
  <si>
    <t>BBPS.SCADA03.00255953</t>
  </si>
  <si>
    <t>BBPS.SCADA03.00255957</t>
  </si>
  <si>
    <t>SPP_Hindustan_Power_Magnet_Buldtech_P2_Unit_1</t>
  </si>
  <si>
    <t>SPP_Hindustan_Power_Magnet_Buldtech_P2_Unit_2</t>
  </si>
  <si>
    <t>SPP_Hindustan_Power_Magnet_Buldtech_P2_Unit_3</t>
  </si>
  <si>
    <t>SPP_Hindustan_Power_Magnet_Buldtech_P2_Unit_4</t>
  </si>
  <si>
    <t>SPP_Hindustan_Power_Magnet_Buldtech_P1_Unit_1</t>
  </si>
  <si>
    <t>SPP_Hindustan_Power_Magnet_Buldtech_P1_Unit_2</t>
  </si>
  <si>
    <t>SPP_Hindustan_Power_Magnet_Buldtech_P1_Unit_3</t>
  </si>
  <si>
    <t>SPP_Hindustan_Power_Magnet_Buldtech_P1_Unit_4</t>
  </si>
  <si>
    <t>SPP_Photon_Sunbeam_P1_U1_Teona_Pujariya</t>
  </si>
  <si>
    <t>BBPS.SCADA03.00259153</t>
  </si>
  <si>
    <t>SPP_Photon_Sunbeam_P1_U2_Teona_Pujariya</t>
  </si>
  <si>
    <t>BBPS.SCADA03.00259156</t>
  </si>
  <si>
    <t>SPP_Photon_Sunbeam_P2_U1_Teona_Pujariya</t>
  </si>
  <si>
    <t>BBPS.SCADA03.00259424</t>
  </si>
  <si>
    <t>SPP_Photon_Sunbeam_P2_U2_Teona_Pujariya</t>
  </si>
  <si>
    <t>BBPS.SCADA03.00259427</t>
  </si>
  <si>
    <t>SPP_Green_Energy_Binjon_HPR</t>
  </si>
  <si>
    <t>SPP_Mihit_Solar_Nangla_Unit-1</t>
  </si>
  <si>
    <t>BBPS.SCADA03.00259173</t>
  </si>
  <si>
    <t>SPP_Mihit_Solar_Nangla_Unit-2</t>
  </si>
  <si>
    <t>BBPS.SCADA03.00259183</t>
  </si>
  <si>
    <t>SPP_Mihit_Solar_Nangla_Unit-3</t>
  </si>
  <si>
    <t>BBPS.SCADA03.00259186</t>
  </si>
  <si>
    <t>SPP_Mihit_Solar_Jhande_Kalan_Unit-1</t>
  </si>
  <si>
    <t>BBPS.SCADA03.00259221</t>
  </si>
  <si>
    <t>SPP_Mihit_Solar_Jhande_Kalan_Unit-2</t>
  </si>
  <si>
    <t>BBPS.SCADA03.00259216</t>
  </si>
  <si>
    <t>SPP_Mihit_Solar_Jhande_Kalan_Unit-3</t>
  </si>
  <si>
    <t>BBPS.SCADA03.00259213</t>
  </si>
  <si>
    <t>SPP_Mihit_Solar_Jhande_Kalan_Unit-4</t>
  </si>
  <si>
    <t>BBPS.SCADA03.00259232</t>
  </si>
  <si>
    <t>SPP_Mihit_Solar_Jhande_Kalan_Unit-5</t>
  </si>
  <si>
    <t>BBPS.SCADA03.00259236</t>
  </si>
  <si>
    <t>SPP_Mihit_Solar_Khera_Khurd_Unit-1</t>
  </si>
  <si>
    <t>BBPS.SCADA03.00259247</t>
  </si>
  <si>
    <t>SPP_Mihit_Solar_Khera_Khurd_Unit-2</t>
  </si>
  <si>
    <t>BBPS.SCADA03.00259252</t>
  </si>
  <si>
    <t>SPP_Mihit_Solar_Khera_Khurd_Unit-3</t>
  </si>
  <si>
    <t>BBPS.SCADA03.00259255</t>
  </si>
  <si>
    <t>SPP_Mihit_Solar_Khera_Khurd_Unit-4</t>
  </si>
  <si>
    <t>BBPS.SCADA03.00259242</t>
  </si>
  <si>
    <t>SPP_Mihit_Solar_Khera_Khurd_Unit-5</t>
  </si>
  <si>
    <t>BBPS.SCADA03.00259239</t>
  </si>
  <si>
    <t>SPP_Mihit_Solar_ManKhera_Unit-1</t>
  </si>
  <si>
    <t>BBPS.SCADA03.00259290</t>
  </si>
  <si>
    <t>SPP_Mihit_Solar_ManKhera_Unit-2</t>
  </si>
  <si>
    <t>BBPS.SCADA03.00259285</t>
  </si>
  <si>
    <t>SPP_Mihit_Solar_ManKhera_Unit-3</t>
  </si>
  <si>
    <t>BBPS.SCADA03.00259282</t>
  </si>
  <si>
    <t>SPP_Mihit_Solar_ManKhera_Unit-4</t>
  </si>
  <si>
    <t>BBPS.SCADA03.00259295</t>
  </si>
  <si>
    <t>SPP_Mihit_Solar_ManKhera_Unit-5</t>
  </si>
  <si>
    <t>BBPS.SCADA03.00259298</t>
  </si>
  <si>
    <t>SPP_Mihit_Solar_Jhunir_Unit-1</t>
  </si>
  <si>
    <t>BBPS.SCADA03.00259324</t>
  </si>
  <si>
    <t>SPP_Mihit_Solar_Jhunir_Unit-2</t>
  </si>
  <si>
    <t>BBPS.SCADA03.00259319</t>
  </si>
  <si>
    <t>SPP_Mihit_Solar_Jhunir_Unit-3</t>
  </si>
  <si>
    <t>BBPS.SCADA03.00259316</t>
  </si>
  <si>
    <t>SPP_Azure_Urja_Total</t>
  </si>
  <si>
    <t>SPP_Soliare_Urja_Total</t>
  </si>
  <si>
    <t>SPP_Punj_Lloyd_Surya_P2_Unit_1</t>
  </si>
  <si>
    <t>SPP_Punj_Lloyd_Surya_P2_Unit_2</t>
  </si>
  <si>
    <t>SPP_Punj_Lloyd_Surya_P2_Unit_3</t>
  </si>
  <si>
    <t>SPP_Punj_Lloyd_Surya_P2_Unit_4</t>
  </si>
  <si>
    <t>SPP_Punj_Lloyd_Surya_P2_Unit_5</t>
  </si>
  <si>
    <t>SPP_Punj_Lloyd_Surya_P2_Unit_6</t>
  </si>
  <si>
    <t>SPP_Punj_Lloyd_Surya_P2_Unit_7</t>
  </si>
  <si>
    <t>BBPS.SCADA03.00260392</t>
  </si>
  <si>
    <t>SPP_Essel_Renewable_Energy_Unit_4</t>
  </si>
  <si>
    <t>SPP_Essel_Renewable_Energy_Unit_1</t>
  </si>
  <si>
    <t>SPP_Essel_Renewable_Energy_Unit_2</t>
  </si>
  <si>
    <t>SPP_Essel_Renewable_Energy_Unit_3</t>
  </si>
  <si>
    <t>SPP_Azure_Power_Pluto_Total</t>
  </si>
  <si>
    <t>SPP_M/s_Clean_Energy_Mansa_Total</t>
  </si>
  <si>
    <t>SPP_P.L.Surya_Urja_Boha_Total</t>
  </si>
  <si>
    <t>SPP_Hindustan_Power_Magnet_Buldtech_P1_Total</t>
  </si>
  <si>
    <t>SPP_Hindustan_Power_Magnet_Buldtech_P2_Total</t>
  </si>
  <si>
    <t>SPP_Photon_Sunbeam_P1_Total</t>
  </si>
  <si>
    <t>SPP_Photon_Sunbeam_P2_Total</t>
  </si>
  <si>
    <t>SPP_Vivan_Solar_Energy</t>
  </si>
  <si>
    <t>BBPS.SCADA04.00426767</t>
  </si>
  <si>
    <t>SPP_Sampurn_Biomass_Fazilka</t>
  </si>
  <si>
    <t>BBPS.SCADA04.00426936</t>
  </si>
  <si>
    <t>BBPS.SCADA04.00438038</t>
  </si>
  <si>
    <t>BBPS.SCADA03.00260349</t>
  </si>
  <si>
    <t>BBPS.SCADA03.00260350</t>
  </si>
  <si>
    <t>BBPS.SCADA03.00260325</t>
  </si>
  <si>
    <t>BBPS.SCADA03.00260328</t>
  </si>
  <si>
    <t>BBPS.SCADA03.00260324</t>
  </si>
  <si>
    <t>BBPS.SCADA03.00260321</t>
  </si>
  <si>
    <t>BBPS.SCADA03.00260318</t>
  </si>
  <si>
    <t>BBPS.SCADA03.00260313</t>
  </si>
  <si>
    <t>BBPS.SCADA03.00259678</t>
  </si>
  <si>
    <t>BBPS.SCADA03.00260399</t>
  </si>
  <si>
    <t>BBPS.SCADA03.00260403</t>
  </si>
  <si>
    <t>BBPS.SCADA03.00260405</t>
  </si>
  <si>
    <t>BBPS.SCADA04.00426759</t>
  </si>
  <si>
    <t>BBPS.SCADA04.00438080</t>
  </si>
  <si>
    <t>BBPS.SCADA04.00353620</t>
  </si>
  <si>
    <t>BBPS.SCADA04.00353613</t>
  </si>
  <si>
    <t>BBPS.SCADA04.00019081</t>
  </si>
  <si>
    <t>BBPS.SCADA03.00255900</t>
  </si>
  <si>
    <t>SPP_Universal_Biomass_Channu</t>
  </si>
  <si>
    <t>SPP_Soliare_Urja_Daultpura</t>
  </si>
  <si>
    <t>SPP_Soliare_Urja_Usmankhera</t>
  </si>
  <si>
    <t>SPP_Soliare_Urja_Dharangwala</t>
  </si>
  <si>
    <t>SPP_Mihit_Solar_Nangla_Total</t>
  </si>
  <si>
    <t>SPP_Mihit_Solar_Jhande_Kalan_Total</t>
  </si>
  <si>
    <t>SPP_Mihit_Solar_Khera_Khurd_Total</t>
  </si>
  <si>
    <t>SPP_Mihit_Solar_ManKhera_Total</t>
  </si>
  <si>
    <t>SPP_Mihit_Solar_Jhunir_Total</t>
  </si>
  <si>
    <t>SPP_Punj_Lloyd_Infrastructure_Total</t>
  </si>
  <si>
    <t>SPP_Essel_Renewable_Energy_Mansa_Total</t>
  </si>
  <si>
    <t>SPP_Madhav_Solar_Plant-1</t>
  </si>
  <si>
    <t>SPP_Madhav_Solar_Plant-2</t>
  </si>
  <si>
    <t>BBPS.SCADA04.00353627</t>
  </si>
  <si>
    <t>PGCIL_PATIALA_ICT1</t>
  </si>
  <si>
    <t>PGCIL_PATIALA_ICT2</t>
  </si>
  <si>
    <t>PGCIL_PATIALA_ICT3</t>
  </si>
  <si>
    <t>PGCIL_LUDHIANA_ICT1</t>
  </si>
  <si>
    <t>PGCIL_LUDHIANA_ICT2</t>
  </si>
  <si>
    <t>PGCIL_LUDHIANA_ICT3</t>
  </si>
  <si>
    <t>PGCIL_LUDHIANA_ICT4</t>
  </si>
  <si>
    <t>PGCIL_AMRITSAR_ICT1</t>
  </si>
  <si>
    <t>PGCIL_AMRITSAR_ICT2</t>
  </si>
  <si>
    <t>PGCIL_AMRITSAR_ICT3</t>
  </si>
  <si>
    <t>PGCIL_MOGA_ICT1</t>
  </si>
  <si>
    <t>PGCIL_MOGA_ICT2</t>
  </si>
  <si>
    <t>PGCIL_MOGA_ICT3</t>
  </si>
  <si>
    <t>PGCIL_MOGA_ICT4</t>
  </si>
  <si>
    <t>PGCIL_MALERKOTLA_ICT1</t>
  </si>
  <si>
    <t>PGCIL_MALERKOTLA_ICT2</t>
  </si>
  <si>
    <t>PGCIL_MALERKOTLA_ICT3</t>
  </si>
  <si>
    <t>PGCIL_JALANDHAR_ICT1</t>
  </si>
  <si>
    <t>PGCIL_JALANDHAR_ICT2</t>
  </si>
  <si>
    <t>PGCIL_JALANDHAR_ICT3</t>
  </si>
  <si>
    <t>PGCIL_PATRAN_ICT1</t>
  </si>
  <si>
    <t>PGCIL_PATRAN_ICT2</t>
  </si>
  <si>
    <t>BBPS.SCADA01.00110820</t>
  </si>
  <si>
    <t>BBPS.SCADA01.00110817</t>
  </si>
  <si>
    <t>BBPS.SCADA01.00110814</t>
  </si>
  <si>
    <t>BBPS.SCADA01.00122288</t>
  </si>
  <si>
    <t>BBPS.SCADA01.00122285</t>
  </si>
  <si>
    <t>BBPS.SCADA01.00122280</t>
  </si>
  <si>
    <t>BBPS.SCADA01.00122275</t>
  </si>
  <si>
    <t>BBPS.SCADA02.00116033</t>
  </si>
  <si>
    <t>BBPS.SCADA02.00116036</t>
  </si>
  <si>
    <t>BBPS.SCADA02.00055164</t>
  </si>
  <si>
    <t>BBPS.SCADA02.00118895</t>
  </si>
  <si>
    <t>BBPS.SCADA02.00118892</t>
  </si>
  <si>
    <t>BBPS.SCADA02.00118889</t>
  </si>
  <si>
    <t>BBPS.SCADA02.00115916</t>
  </si>
  <si>
    <t>BBPS.SCADA02.00115907</t>
  </si>
  <si>
    <t>BBPS.SCADA01.00115895</t>
  </si>
  <si>
    <t>BBPS.SCADA01.00115898</t>
  </si>
  <si>
    <t>BBPS.SCADA01.00125831</t>
  </si>
  <si>
    <t>BBPS.SCADA01.00125856</t>
  </si>
  <si>
    <t>BBPS.SCADA03.00258235</t>
  </si>
  <si>
    <t>BBPS.SCADA03.00332492</t>
  </si>
  <si>
    <t>BBPS.SCADA03.00332495</t>
  </si>
  <si>
    <t>BBPS.SCADA04.00017211</t>
  </si>
  <si>
    <t>BBPS.SCADA04.00017015</t>
  </si>
  <si>
    <t>BBPS.SCADA04.00017024</t>
  </si>
  <si>
    <t>BBPS.SCADA04.00353477</t>
  </si>
  <si>
    <t>BBPS.SCADA04.00017065</t>
  </si>
  <si>
    <t>BBPS.SCADA04.00019123</t>
  </si>
  <si>
    <t>BBPS.SCADA04.00019116</t>
  </si>
  <si>
    <t>BBPS.SCADA04.00019102</t>
  </si>
  <si>
    <t>BBPS.SCADA04.00019137</t>
  </si>
  <si>
    <t>BBPS.SCADA04.00019130</t>
  </si>
  <si>
    <t>BBPS.SCADA04.00019109</t>
  </si>
  <si>
    <t>BBPS.SCADA04.00019088</t>
  </si>
  <si>
    <t>BBPS.SCADA04.00019095</t>
  </si>
  <si>
    <t>BBPS.SCADA04.00019144</t>
  </si>
  <si>
    <t>BBPS.SCADA04.00017001</t>
  </si>
  <si>
    <t>BBPS.SCADA03.00259091</t>
  </si>
  <si>
    <t>BBPS.SCADA03.00259096</t>
  </si>
  <si>
    <t>BBPS.SCADA04.00017029</t>
  </si>
  <si>
    <t>BBPS.SCADA03.00259125</t>
  </si>
  <si>
    <t>BBPS.SCADA03.00259117</t>
  </si>
  <si>
    <t>BBPS.SCADA04.00017030</t>
  </si>
  <si>
    <t>BBPS.SCADA04.00442596</t>
  </si>
  <si>
    <t>BBPS.SCADA04.00017033</t>
  </si>
  <si>
    <t>BBPS.SCADA04.00017090</t>
  </si>
  <si>
    <t>BBPS.SCADA04.00017122</t>
  </si>
  <si>
    <t>BBPS.SCADA04.00017008</t>
  </si>
  <si>
    <t>SPP_Enterprise Buisness Solution</t>
  </si>
  <si>
    <t>SPP_International Switchgear Unit 1</t>
  </si>
  <si>
    <t>SPP_International Switchgear Unit 2</t>
  </si>
  <si>
    <t>SPP_Viaton Energy Pvt. Ltd.</t>
  </si>
  <si>
    <t>SPP_Canal Solar Energy Jalkheri</t>
  </si>
  <si>
    <t>SPP_PEDA PSAMB New Grain Market Mansa (Anaj Mandi)</t>
  </si>
  <si>
    <t>SPP_PEDA Skyross Enterprises Sangrur</t>
  </si>
  <si>
    <t>SPP_PEDA CA Vegefruit Store Kharar (Gharuan)</t>
  </si>
  <si>
    <t>SPP_PEDA PSAMB Ludhiana (Nurewal)</t>
  </si>
  <si>
    <t>SPP_PEDA BOSS COMPUTERS ZIRAKPUR (Dayalpura Sodhiya)</t>
  </si>
  <si>
    <t>SPP_PEDA CANAM Consultant Chalaki (Hargana)</t>
  </si>
  <si>
    <t>SPP_Sovax Renewables</t>
  </si>
  <si>
    <t>SPP_SAM Solar Total (Sidhwan)</t>
  </si>
  <si>
    <t>SPP_Earth Solar Pvt. Ltd.</t>
  </si>
  <si>
    <t>SPP_Vijay Printing Press Pvt. Ltd.</t>
  </si>
  <si>
    <t>SPP_Radiant Solar Energies Pvt. Ltd.</t>
  </si>
  <si>
    <t>SPP_Oasis Green Energy Pvt. Ltd.</t>
  </si>
  <si>
    <t>SPP_Omega Infra Engineers Pvt. Ltd.</t>
  </si>
  <si>
    <t>SPP_PEDA Chunni Kalan (Badali Ala Singh)</t>
  </si>
  <si>
    <t>SPP_PEDA W.House Kotla Fasal (Attewali)</t>
  </si>
  <si>
    <t>SPP_PEDA PSAMB Sec-65A (SAS Nagar)</t>
  </si>
  <si>
    <t>SPP_SAM Solar Unit 1 (Nidampur)</t>
  </si>
  <si>
    <t>SPP_SAM Solar Unit 2 (Nidampur)</t>
  </si>
  <si>
    <t>SPP_SAM Solar Unit 1 (Sidhwan)</t>
  </si>
  <si>
    <t>SPP_SAM Solar Unit 2 (Sidhwan)</t>
  </si>
  <si>
    <t>SPP_SAM Solar Total (Nidampur)</t>
  </si>
  <si>
    <t>BBPS.SCADA03.00260334</t>
  </si>
  <si>
    <t>SPP_TATA_POWER_P4_Teona_Pujaria</t>
  </si>
  <si>
    <t>BBPS.SCADA04.00017293</t>
  </si>
  <si>
    <t>BBPS.SCADA04.00426795</t>
  </si>
  <si>
    <t>Total_RES_Generation</t>
  </si>
  <si>
    <t>BBPS.SCADA04.00017298</t>
  </si>
  <si>
    <t>SPP_Enterprise Buisness Solution Net Energy</t>
  </si>
  <si>
    <t>SPP_International Switchgear Unit 1 Net Energy</t>
  </si>
  <si>
    <t>SPP_International Switchgear Unit 2 Net Energy</t>
  </si>
  <si>
    <t>SPP_Canal Solar Energy Jalkheri Net Energy</t>
  </si>
  <si>
    <t>SPP_Oasis Green Energy Pvt. Ltd. Net Energy</t>
  </si>
  <si>
    <t>SPP_Omega Infra Engineers Pvt. Ltd. Net Energy</t>
  </si>
  <si>
    <t>BBPS.SCADA04.00017186</t>
  </si>
  <si>
    <t>BBPS.SCADA04.00017249</t>
  </si>
  <si>
    <t>BBPS.SCADA04.00017251</t>
  </si>
  <si>
    <t>BBPS.SCADA04.00017237</t>
  </si>
  <si>
    <t>BBPS.SCADA04.00017268</t>
  </si>
  <si>
    <t>BBPS.SCADA04.00017207</t>
  </si>
  <si>
    <t xml:space="preserve"> </t>
  </si>
  <si>
    <t>DateS</t>
  </si>
  <si>
    <t>TimeS</t>
  </si>
  <si>
    <t>UI_RATES_NEW</t>
  </si>
  <si>
    <t>UPDATED</t>
  </si>
  <si>
    <t>02-13-2019  10:09:31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</si>
</sst>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2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eDNA\Excel%20AddIn\eDNA%20Data%20Tool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eDNA Data Tool"/>
    </sheetNames>
    <definedNames>
      <definedName name="DNAGetDate"/>
      <definedName name="DNAGetStatus"/>
      <definedName name="DNAGetTime"/>
      <definedName name="DNAGetValu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622"/>
  <sheetViews>
    <sheetView tabSelected="1" workbookViewId="0">
      <selection activeCell="B38" sqref="A38:B38"/>
    </sheetView>
  </sheetViews>
  <sheetFormatPr defaultRowHeight="15"/>
  <cols>
    <col min="1" max="1" width="55.140625" bestFit="1" customWidth="1"/>
    <col min="2" max="2" width="23" bestFit="1" customWidth="1"/>
    <col min="3" max="3" width="10.42578125" customWidth="1"/>
    <col min="4" max="4" width="10.85546875" customWidth="1"/>
    <col min="5" max="5" width="18.28515625" customWidth="1"/>
    <col min="6" max="6" width="12.7109375" bestFit="1" customWidth="1"/>
    <col min="7" max="7" width="8.5703125" bestFit="1" customWidth="1"/>
    <col min="8" max="8" width="12.7109375" bestFit="1" customWidth="1"/>
    <col min="9" max="9" width="5.140625" bestFit="1" customWidth="1"/>
    <col min="11" max="11" width="2" bestFit="1" customWidth="1"/>
  </cols>
  <sheetData>
    <row r="1" spans="1:8">
      <c r="A1" t="s">
        <v>0</v>
      </c>
      <c r="B1" t="s">
        <v>1</v>
      </c>
      <c r="C1" t="s">
        <v>532</v>
      </c>
      <c r="D1" t="s">
        <v>533</v>
      </c>
      <c r="E1" t="s">
        <v>2</v>
      </c>
      <c r="F1" t="s">
        <v>3</v>
      </c>
      <c r="G1" t="s">
        <v>4</v>
      </c>
    </row>
    <row r="2" spans="1:8">
      <c r="A2" t="s">
        <v>5</v>
      </c>
      <c r="B2" t="s">
        <v>71</v>
      </c>
      <c r="C2" t="str">
        <f>[1]!DNAGetDate("BBPS.SCADA01.00001065")</f>
        <v>05-02-2019</v>
      </c>
      <c r="D2" t="str">
        <f>[1]!DNAGetTime("BBPS.SCADA01.00001065")</f>
        <v>10:09:31</v>
      </c>
      <c r="E2" s="1">
        <v>43587.423275462963</v>
      </c>
      <c r="F2">
        <f>[1]!DNAGetValue("BBPS.SCADA01.00001065")</f>
        <v>-9.1353207799999992E-3</v>
      </c>
      <c r="G2" t="str">
        <f>[1]!DNAGetStatus("BBPS.SCADA01.00001065")</f>
        <v>SUSPECT</v>
      </c>
      <c r="H2">
        <f>F2</f>
        <v>-9.1353207799999992E-3</v>
      </c>
    </row>
    <row r="3" spans="1:8">
      <c r="A3" t="s">
        <v>6</v>
      </c>
      <c r="B3" t="s">
        <v>72</v>
      </c>
      <c r="C3" t="str">
        <f>[1]!DNAGetDate("BBPS.SCADA01.00006140")</f>
        <v>05-02-2019</v>
      </c>
      <c r="D3" t="str">
        <f>[1]!DNAGetTime("BBPS.SCADA01.00006140")</f>
        <v>10:09:05</v>
      </c>
      <c r="E3" s="1">
        <v>43587.422974537039</v>
      </c>
      <c r="F3">
        <f>[1]!DNAGetValue("BBPS.SCADA01.00006140")</f>
        <v>502</v>
      </c>
      <c r="G3" t="str">
        <f>[1]!DNAGetStatus("BBPS.SCADA01.00006140")</f>
        <v>OK</v>
      </c>
      <c r="H3">
        <f>SUM(F3:F4)</f>
        <v>999</v>
      </c>
    </row>
    <row r="4" spans="1:8">
      <c r="A4" t="s">
        <v>7</v>
      </c>
      <c r="B4" t="s">
        <v>73</v>
      </c>
      <c r="C4" t="str">
        <f>[1]!DNAGetDate("BBPS.SCADA01.00006143")</f>
        <v>05-02-2019</v>
      </c>
      <c r="D4" t="str">
        <f>[1]!DNAGetTime("BBPS.SCADA01.00006143")</f>
        <v>10:07:26</v>
      </c>
      <c r="E4" s="1">
        <v>43587.4218287037</v>
      </c>
      <c r="F4">
        <f>[1]!DNAGetValue("BBPS.SCADA01.00006143")</f>
        <v>497</v>
      </c>
      <c r="G4" t="str">
        <f>[1]!DNAGetStatus("BBPS.SCADA01.00006143")</f>
        <v>OK</v>
      </c>
    </row>
    <row r="5" spans="1:8">
      <c r="A5" t="s">
        <v>8</v>
      </c>
      <c r="B5" t="s">
        <v>74</v>
      </c>
      <c r="C5" t="str">
        <f>[1]!DNAGetDate("BBPS.SCADA01.00006950")</f>
        <v>04-02-2019</v>
      </c>
      <c r="D5" t="str">
        <f>[1]!DNAGetTime("BBPS.SCADA01.00006950")</f>
        <v>16:08:50</v>
      </c>
      <c r="E5" s="1">
        <v>43557.672800925924</v>
      </c>
      <c r="F5">
        <f>[1]!DNAGetValue("BBPS.SCADA01.00006950")</f>
        <v>665.92065400000001</v>
      </c>
      <c r="G5" t="str">
        <f>[1]!DNAGetStatus("BBPS.SCADA01.00006950")</f>
        <v>OK</v>
      </c>
      <c r="H5">
        <f>SUM(F5:F6)</f>
        <v>1329.9127189999999</v>
      </c>
    </row>
    <row r="6" spans="1:8">
      <c r="A6" t="s">
        <v>9</v>
      </c>
      <c r="B6" t="s">
        <v>75</v>
      </c>
      <c r="C6" t="str">
        <f>[1]!DNAGetDate("BBPS.SCADA01.00006953")</f>
        <v>04-02-2019</v>
      </c>
      <c r="D6" t="str">
        <f>[1]!DNAGetTime("BBPS.SCADA01.00006953")</f>
        <v>16:08:50</v>
      </c>
      <c r="E6" s="1">
        <v>43557.672800925924</v>
      </c>
      <c r="F6">
        <f>[1]!DNAGetValue("BBPS.SCADA01.00006953")</f>
        <v>663.99206500000003</v>
      </c>
      <c r="G6" t="str">
        <f>[1]!DNAGetStatus("BBPS.SCADA01.00006953")</f>
        <v>OK</v>
      </c>
    </row>
    <row r="7" spans="1:8">
      <c r="A7" t="s">
        <v>10</v>
      </c>
      <c r="B7" t="s">
        <v>76</v>
      </c>
      <c r="C7" t="str">
        <f>[1]!DNAGetDate("BBPS.SCADA01.00011304")</f>
        <v>05-02-2019</v>
      </c>
      <c r="D7" t="str">
        <f>[1]!DNAGetTime("BBPS.SCADA01.00011304")</f>
        <v>10:00:19</v>
      </c>
      <c r="E7" s="1">
        <v>43587.416886574072</v>
      </c>
      <c r="F7">
        <f>[1]!DNAGetValue("BBPS.SCADA01.00011304")</f>
        <v>1236.37744</v>
      </c>
      <c r="G7" t="str">
        <f>[1]!DNAGetStatus("BBPS.SCADA01.00011304")</f>
        <v>OK</v>
      </c>
    </row>
    <row r="8" spans="1:8">
      <c r="A8" t="s">
        <v>11</v>
      </c>
      <c r="B8" t="s">
        <v>77</v>
      </c>
      <c r="C8" t="str">
        <f>[1]!DNAGetDate("BBPS.SCADA01.00011307")</f>
        <v>05-02-2019</v>
      </c>
      <c r="D8" t="str">
        <f>[1]!DNAGetTime("BBPS.SCADA01.00011307")</f>
        <v>10:00:19</v>
      </c>
      <c r="E8" s="1">
        <v>43587.416886574072</v>
      </c>
      <c r="F8">
        <f>[1]!DNAGetValue("BBPS.SCADA01.00011307")</f>
        <v>4501.0185499999998</v>
      </c>
      <c r="G8" t="str">
        <f>[1]!DNAGetStatus("BBPS.SCADA01.00011307")</f>
        <v>OK</v>
      </c>
    </row>
    <row r="9" spans="1:8">
      <c r="A9" t="s">
        <v>12</v>
      </c>
      <c r="B9" t="s">
        <v>78</v>
      </c>
      <c r="C9" t="str">
        <f>[1]!DNAGetDate("BBPS.SCADA01.00011330")</f>
        <v>05-02-2019</v>
      </c>
      <c r="D9" t="str">
        <f>[1]!DNAGetTime("BBPS.SCADA01.00011330")</f>
        <v>10:00:19</v>
      </c>
      <c r="E9" s="1">
        <v>43587.416886574072</v>
      </c>
      <c r="F9">
        <f>[1]!DNAGetValue("BBPS.SCADA01.00011330")</f>
        <v>3505.03442</v>
      </c>
      <c r="G9" t="str">
        <f>[1]!DNAGetStatus("BBPS.SCADA01.00011330")</f>
        <v>OK</v>
      </c>
    </row>
    <row r="10" spans="1:8">
      <c r="A10" t="s">
        <v>13</v>
      </c>
      <c r="B10" t="s">
        <v>79</v>
      </c>
      <c r="C10" t="str">
        <f>[1]!DNAGetDate("BBPS.SCADA01.00011345")</f>
        <v>05-02-2019</v>
      </c>
      <c r="D10" t="str">
        <f>[1]!DNAGetTime("BBPS.SCADA01.00011345")</f>
        <v>10:00:19</v>
      </c>
      <c r="E10" s="1">
        <v>43587.416886574072</v>
      </c>
      <c r="F10">
        <f>[1]!DNAGetValue("BBPS.SCADA01.00011345")</f>
        <v>1416.0819100000001</v>
      </c>
      <c r="G10" t="str">
        <f>[1]!DNAGetStatus("BBPS.SCADA01.00011345")</f>
        <v>OK</v>
      </c>
    </row>
    <row r="11" spans="1:8">
      <c r="A11" t="s">
        <v>14</v>
      </c>
      <c r="B11" t="s">
        <v>80</v>
      </c>
      <c r="C11" t="str">
        <f>[1]!DNAGetDate("BBPS.SCADA01.00011372")</f>
        <v>05-02-2019</v>
      </c>
      <c r="D11" t="str">
        <f>[1]!DNAGetTime("BBPS.SCADA01.00011372")</f>
        <v>10:00:19</v>
      </c>
      <c r="E11" s="1">
        <v>43587.416886574072</v>
      </c>
      <c r="F11">
        <f>[1]!DNAGetValue("BBPS.SCADA01.00011372")</f>
        <v>1834.64185</v>
      </c>
      <c r="G11" t="str">
        <f>[1]!DNAGetStatus("BBPS.SCADA01.00011372")</f>
        <v>OK</v>
      </c>
    </row>
    <row r="12" spans="1:8">
      <c r="A12" t="s">
        <v>15</v>
      </c>
      <c r="B12" t="s">
        <v>81</v>
      </c>
      <c r="C12" t="str">
        <f>[1]!DNAGetDate("BBPS.SCADA01.00011376")</f>
        <v>05-02-2019</v>
      </c>
      <c r="D12" t="str">
        <f>[1]!DNAGetTime("BBPS.SCADA01.00011376")</f>
        <v>10:00:19</v>
      </c>
      <c r="E12" s="1">
        <v>43587.416886574072</v>
      </c>
      <c r="F12">
        <f>[1]!DNAGetValue("BBPS.SCADA01.00011376")</f>
        <v>3535.74341</v>
      </c>
      <c r="G12" t="str">
        <f>[1]!DNAGetStatus("BBPS.SCADA01.00011376")</f>
        <v>OK</v>
      </c>
    </row>
    <row r="13" spans="1:8">
      <c r="A13" t="s">
        <v>16</v>
      </c>
      <c r="B13" t="s">
        <v>82</v>
      </c>
      <c r="C13" t="str">
        <f>[1]!DNAGetDate("BBPS.SCADA01.00011378")</f>
        <v>05-02-2019</v>
      </c>
      <c r="D13" t="str">
        <f>[1]!DNAGetTime("BBPS.SCADA01.00011378")</f>
        <v>10:00:19</v>
      </c>
      <c r="E13" s="1">
        <v>43587.416886574072</v>
      </c>
      <c r="F13">
        <f>[1]!DNAGetValue("BBPS.SCADA01.00011378")</f>
        <v>1122.33716</v>
      </c>
      <c r="G13" t="str">
        <f>[1]!DNAGetStatus("BBPS.SCADA01.00011378")</f>
        <v>OK</v>
      </c>
    </row>
    <row r="14" spans="1:8">
      <c r="A14" t="s">
        <v>17</v>
      </c>
      <c r="B14" t="s">
        <v>83</v>
      </c>
      <c r="C14" t="str">
        <f>[1]!DNAGetDate("BBPS.SCADA01.00011383")</f>
        <v>05-02-2019</v>
      </c>
      <c r="D14" t="str">
        <f>[1]!DNAGetTime("BBPS.SCADA01.00011383")</f>
        <v>10:00:19</v>
      </c>
      <c r="E14" s="1">
        <v>43587.416886574072</v>
      </c>
      <c r="F14">
        <f>[1]!DNAGetValue("BBPS.SCADA01.00011383")</f>
        <v>3800.0432099999998</v>
      </c>
      <c r="G14" t="str">
        <f>[1]!DNAGetStatus("BBPS.SCADA01.00011383")</f>
        <v>OK</v>
      </c>
    </row>
    <row r="15" spans="1:8">
      <c r="A15" t="s">
        <v>18</v>
      </c>
      <c r="B15" t="s">
        <v>84</v>
      </c>
      <c r="C15" t="str">
        <f>[1]!DNAGetDate("BBPS.SCADA01.00011400")</f>
        <v>05-02-2019</v>
      </c>
      <c r="D15" t="str">
        <f>[1]!DNAGetTime("BBPS.SCADA01.00011400")</f>
        <v>10:00:19</v>
      </c>
      <c r="E15" s="1">
        <v>43587.416886574072</v>
      </c>
      <c r="F15">
        <f>[1]!DNAGetValue("BBPS.SCADA01.00011400")</f>
        <v>191.11653100000001</v>
      </c>
      <c r="G15" t="str">
        <f>[1]!DNAGetStatus("BBPS.SCADA01.00011400")</f>
        <v>OK</v>
      </c>
    </row>
    <row r="16" spans="1:8">
      <c r="A16" t="s">
        <v>19</v>
      </c>
      <c r="B16" t="s">
        <v>85</v>
      </c>
      <c r="C16" t="str">
        <f>[1]!DNAGetDate("BBPS.SCADA01.00012150")</f>
        <v>05-02-2019</v>
      </c>
      <c r="D16" t="str">
        <f>[1]!DNAGetTime("BBPS.SCADA01.00012150")</f>
        <v>10:09:28</v>
      </c>
      <c r="E16" s="1">
        <v>43587.42324074074</v>
      </c>
      <c r="F16">
        <f>[1]!DNAGetValue("BBPS.SCADA01.00012150")</f>
        <v>126.736328</v>
      </c>
      <c r="G16" t="str">
        <f>[1]!DNAGetStatus("BBPS.SCADA01.00012150")</f>
        <v>OK</v>
      </c>
    </row>
    <row r="17" spans="1:8">
      <c r="A17" t="s">
        <v>20</v>
      </c>
      <c r="B17" t="s">
        <v>86</v>
      </c>
      <c r="C17" t="str">
        <f>[1]!DNAGetDate("BBPS.SCADA01.00012155")</f>
        <v>05-02-2019</v>
      </c>
      <c r="D17" t="str">
        <f>[1]!DNAGetTime("BBPS.SCADA01.00012155")</f>
        <v>10:09:28</v>
      </c>
      <c r="E17" s="1">
        <v>43587.42324074074</v>
      </c>
      <c r="F17">
        <f>[1]!DNAGetValue("BBPS.SCADA01.00012155")</f>
        <v>1363.1137699999999</v>
      </c>
      <c r="G17" t="str">
        <f>[1]!DNAGetStatus("BBPS.SCADA01.00012155")</f>
        <v>OK</v>
      </c>
    </row>
    <row r="18" spans="1:8">
      <c r="A18" t="s">
        <v>21</v>
      </c>
      <c r="B18" t="s">
        <v>87</v>
      </c>
      <c r="C18" t="str">
        <f>[1]!DNAGetDate("BBPS.SCADA01.00012161")</f>
        <v>05-02-2019</v>
      </c>
      <c r="D18" t="str">
        <f>[1]!DNAGetTime("BBPS.SCADA01.00012161")</f>
        <v>10:09:28</v>
      </c>
      <c r="E18" s="1">
        <v>43587.42324074074</v>
      </c>
      <c r="F18">
        <f>[1]!DNAGetValue("BBPS.SCADA01.00012161")</f>
        <v>-636.72729500000003</v>
      </c>
      <c r="G18" t="str">
        <f>[1]!DNAGetStatus("BBPS.SCADA01.00012161")</f>
        <v>OK</v>
      </c>
    </row>
    <row r="19" spans="1:8">
      <c r="A19" t="s">
        <v>22</v>
      </c>
      <c r="B19" t="s">
        <v>88</v>
      </c>
      <c r="C19" t="str">
        <f>[1]!DNAGetDate("BBPS.SCADA01.00012174")</f>
        <v>05-02-2019</v>
      </c>
      <c r="D19" t="str">
        <f>[1]!DNAGetTime("BBPS.SCADA01.00012174")</f>
        <v>10:09:28</v>
      </c>
      <c r="E19" s="1">
        <v>43587.42324074074</v>
      </c>
      <c r="F19">
        <f>[1]!DNAGetValue("BBPS.SCADA01.00012174")</f>
        <v>3864.29126</v>
      </c>
      <c r="G19" t="str">
        <f>[1]!DNAGetStatus("BBPS.SCADA01.00012174")</f>
        <v>OK</v>
      </c>
    </row>
    <row r="20" spans="1:8">
      <c r="A20" t="s">
        <v>23</v>
      </c>
      <c r="B20" t="s">
        <v>89</v>
      </c>
      <c r="C20" t="str">
        <f>[1]!DNAGetDate("BBPS.SCADA01.00012183")</f>
        <v>05-02-2019</v>
      </c>
      <c r="D20" t="str">
        <f>[1]!DNAGetTime("BBPS.SCADA01.00012183")</f>
        <v>10:09:28</v>
      </c>
      <c r="E20" s="1">
        <v>43587.42324074074</v>
      </c>
      <c r="F20">
        <f>[1]!DNAGetValue("BBPS.SCADA01.00012183")</f>
        <v>114.421875</v>
      </c>
      <c r="G20" t="str">
        <f>[1]!DNAGetStatus("BBPS.SCADA01.00012183")</f>
        <v>OK</v>
      </c>
    </row>
    <row r="21" spans="1:8">
      <c r="A21" t="s">
        <v>24</v>
      </c>
      <c r="B21" t="s">
        <v>90</v>
      </c>
      <c r="C21" t="str">
        <f>[1]!DNAGetDate("BBPS.SCADA01.00012406")</f>
        <v>05-02-2019</v>
      </c>
      <c r="D21" t="str">
        <f>[1]!DNAGetTime("BBPS.SCADA01.00012406")</f>
        <v>10:09:18</v>
      </c>
      <c r="E21" s="1">
        <v>43587.423125000001</v>
      </c>
      <c r="F21">
        <f>[1]!DNAGetValue("BBPS.SCADA01.00012406")</f>
        <v>45.950149500000002</v>
      </c>
      <c r="G21" t="str">
        <f>[1]!DNAGetStatus("BBPS.SCADA01.00012406")</f>
        <v>OK</v>
      </c>
    </row>
    <row r="22" spans="1:8">
      <c r="A22" t="s">
        <v>25</v>
      </c>
      <c r="B22" t="s">
        <v>91</v>
      </c>
      <c r="C22" t="str">
        <f>[1]!DNAGetDate("BBPS.SCADA01.00012410")</f>
        <v>05-02-2019</v>
      </c>
      <c r="D22" t="str">
        <f>[1]!DNAGetTime("BBPS.SCADA01.00012410")</f>
        <v>10:09:18</v>
      </c>
      <c r="E22" s="1">
        <v>43587.423125000001</v>
      </c>
      <c r="F22">
        <f>[1]!DNAGetValue("BBPS.SCADA01.00012410")</f>
        <v>237.06668099999999</v>
      </c>
      <c r="G22" t="str">
        <f>[1]!DNAGetStatus("BBPS.SCADA01.00012410")</f>
        <v>OK</v>
      </c>
    </row>
    <row r="23" spans="1:8">
      <c r="A23" t="s">
        <v>26</v>
      </c>
      <c r="B23" t="s">
        <v>92</v>
      </c>
      <c r="C23" t="str">
        <f>[1]!DNAGetDate("BBPS.SCADA01.00311661")</f>
        <v>05-02-2019</v>
      </c>
      <c r="D23" t="str">
        <f>[1]!DNAGetTime("BBPS.SCADA01.00311661")</f>
        <v>10:09:29</v>
      </c>
      <c r="E23" s="1">
        <v>43587.423252314817</v>
      </c>
      <c r="F23">
        <f>[1]!DNAGetValue("BBPS.SCADA01.00311661")</f>
        <v>0.59560310800000005</v>
      </c>
      <c r="G23" t="str">
        <f>[1]!DNAGetStatus("BBPS.SCADA01.00311661")</f>
        <v>OK</v>
      </c>
      <c r="H23">
        <f>SUM(F23:F28)</f>
        <v>2.9780155400000003</v>
      </c>
    </row>
    <row r="24" spans="1:8">
      <c r="A24" t="s">
        <v>27</v>
      </c>
      <c r="B24" t="s">
        <v>93</v>
      </c>
      <c r="C24" t="str">
        <f>[1]!DNAGetDate("BBPS.SCADA01.00311675")</f>
        <v>05-02-2019</v>
      </c>
      <c r="D24" t="str">
        <f>[1]!DNAGetTime("BBPS.SCADA01.00311675")</f>
        <v>10:09:19</v>
      </c>
      <c r="E24" s="1">
        <v>43587.423136574071</v>
      </c>
      <c r="F24">
        <f>[1]!DNAGetValue("BBPS.SCADA01.00311675")</f>
        <v>0.29780155400000002</v>
      </c>
      <c r="G24" t="str">
        <f>[1]!DNAGetStatus("BBPS.SCADA01.00311675")</f>
        <v>OK</v>
      </c>
    </row>
    <row r="25" spans="1:8">
      <c r="A25" t="s">
        <v>28</v>
      </c>
      <c r="B25" t="s">
        <v>94</v>
      </c>
      <c r="C25" t="str">
        <f>[1]!DNAGetDate("BBPS.SCADA01.00311684")</f>
        <v>05-02-2019</v>
      </c>
      <c r="D25" t="str">
        <f>[1]!DNAGetTime("BBPS.SCADA01.00311684")</f>
        <v>10:08:59</v>
      </c>
      <c r="E25" s="1">
        <v>43587.422905092593</v>
      </c>
      <c r="F25">
        <f>[1]!DNAGetValue("BBPS.SCADA01.00311684")</f>
        <v>0.59560310800000005</v>
      </c>
      <c r="G25" t="str">
        <f>[1]!DNAGetStatus("BBPS.SCADA01.00311684")</f>
        <v>OK</v>
      </c>
    </row>
    <row r="26" spans="1:8">
      <c r="A26" t="s">
        <v>29</v>
      </c>
      <c r="B26" t="s">
        <v>95</v>
      </c>
      <c r="C26" t="str">
        <f>[1]!DNAGetDate("BBPS.SCADA01.00311695")</f>
        <v>05-02-2019</v>
      </c>
      <c r="D26" t="str">
        <f>[1]!DNAGetTime("BBPS.SCADA01.00311695")</f>
        <v>10:09:05</v>
      </c>
      <c r="E26" s="1">
        <v>43587.422974537039</v>
      </c>
      <c r="F26">
        <f>[1]!DNAGetValue("BBPS.SCADA01.00311695")</f>
        <v>0.29780155400000002</v>
      </c>
      <c r="G26" t="str">
        <f>[1]!DNAGetStatus("BBPS.SCADA01.00311695")</f>
        <v>OK</v>
      </c>
    </row>
    <row r="27" spans="1:8">
      <c r="A27" t="s">
        <v>30</v>
      </c>
      <c r="B27" t="s">
        <v>96</v>
      </c>
      <c r="C27" t="str">
        <f>[1]!DNAGetDate("BBPS.SCADA01.00311709")</f>
        <v>05-02-2019</v>
      </c>
      <c r="D27" t="str">
        <f>[1]!DNAGetTime("BBPS.SCADA01.00311709")</f>
        <v>10:08:36</v>
      </c>
      <c r="E27" s="1">
        <v>43587.422638888886</v>
      </c>
      <c r="F27">
        <f>[1]!DNAGetValue("BBPS.SCADA01.00311709")</f>
        <v>0.59560310800000005</v>
      </c>
      <c r="G27" t="str">
        <f>[1]!DNAGetStatus("BBPS.SCADA01.00311709")</f>
        <v>OK</v>
      </c>
    </row>
    <row r="28" spans="1:8">
      <c r="A28" t="s">
        <v>31</v>
      </c>
      <c r="B28" t="s">
        <v>97</v>
      </c>
      <c r="C28" t="str">
        <f>[1]!DNAGetDate("BBPS.SCADA01.00311715")</f>
        <v>05-02-2019</v>
      </c>
      <c r="D28" t="str">
        <f>[1]!DNAGetTime("BBPS.SCADA01.00311715")</f>
        <v>10:09:19</v>
      </c>
      <c r="E28" s="1">
        <v>43587.423136574071</v>
      </c>
      <c r="F28">
        <f>[1]!DNAGetValue("BBPS.SCADA01.00311715")</f>
        <v>0.59560310800000005</v>
      </c>
      <c r="G28" t="str">
        <f>[1]!DNAGetStatus("BBPS.SCADA01.00311715")</f>
        <v>OK</v>
      </c>
    </row>
    <row r="29" spans="1:8">
      <c r="A29" t="s">
        <v>32</v>
      </c>
      <c r="B29" t="s">
        <v>98</v>
      </c>
      <c r="C29" t="str">
        <f>[1]!DNAGetDate("BBPS.SCADA01.00311865")</f>
        <v>05-02-2019</v>
      </c>
      <c r="D29" t="str">
        <f>[1]!DNAGetTime("BBPS.SCADA01.00311865")</f>
        <v>10:09:18</v>
      </c>
      <c r="E29" s="1">
        <v>43587.423125000001</v>
      </c>
      <c r="F29">
        <f>[1]!DNAGetValue("BBPS.SCADA01.00311865")</f>
        <v>-0.73673671500000004</v>
      </c>
      <c r="G29" t="str">
        <f>[1]!DNAGetStatus("BBPS.SCADA01.00311865")</f>
        <v>OK</v>
      </c>
      <c r="H29">
        <f>SUM(F29:F32)</f>
        <v>-2.2705910490000001</v>
      </c>
    </row>
    <row r="30" spans="1:8">
      <c r="A30" t="s">
        <v>33</v>
      </c>
      <c r="B30" t="s">
        <v>99</v>
      </c>
      <c r="C30" t="str">
        <f>[1]!DNAGetDate("BBPS.SCADA01.00311871")</f>
        <v>05-02-2019</v>
      </c>
      <c r="D30" t="str">
        <f>[1]!DNAGetTime("BBPS.SCADA01.00311871")</f>
        <v>10:09:20</v>
      </c>
      <c r="E30" s="1">
        <v>43587.423148148147</v>
      </c>
      <c r="F30">
        <f>[1]!DNAGetValue("BBPS.SCADA01.00311871")</f>
        <v>0.40185639299999998</v>
      </c>
      <c r="G30" t="str">
        <f>[1]!DNAGetStatus("BBPS.SCADA01.00311871")</f>
        <v>OK</v>
      </c>
    </row>
    <row r="31" spans="1:8">
      <c r="A31" t="s">
        <v>34</v>
      </c>
      <c r="B31" t="s">
        <v>100</v>
      </c>
      <c r="C31" t="str">
        <f>[1]!DNAGetDate("BBPS.SCADA01.00311905")</f>
        <v>05-02-2019</v>
      </c>
      <c r="D31" t="str">
        <f>[1]!DNAGetTime("BBPS.SCADA01.00311905")</f>
        <v>10:09:29</v>
      </c>
      <c r="E31" s="1">
        <v>43587.423252314817</v>
      </c>
      <c r="F31">
        <f>[1]!DNAGetValue("BBPS.SCADA01.00311905")</f>
        <v>-0.81895452700000004</v>
      </c>
      <c r="G31" t="str">
        <f>[1]!DNAGetStatus("BBPS.SCADA01.00311905")</f>
        <v>OK</v>
      </c>
    </row>
    <row r="32" spans="1:8">
      <c r="A32" t="s">
        <v>35</v>
      </c>
      <c r="B32" t="s">
        <v>101</v>
      </c>
      <c r="C32" t="str">
        <f>[1]!DNAGetDate("BBPS.SCADA01.00311908")</f>
        <v>05-02-2019</v>
      </c>
      <c r="D32" t="str">
        <f>[1]!DNAGetTime("BBPS.SCADA01.00311908")</f>
        <v>10:09:09</v>
      </c>
      <c r="E32" s="1">
        <v>43587.423020833332</v>
      </c>
      <c r="F32">
        <f>[1]!DNAGetValue("BBPS.SCADA01.00311908")</f>
        <v>-1.1167562</v>
      </c>
      <c r="G32" t="str">
        <f>[1]!DNAGetStatus("BBPS.SCADA01.00311908")</f>
        <v>OK</v>
      </c>
    </row>
    <row r="33" spans="1:8">
      <c r="A33" t="s">
        <v>36</v>
      </c>
      <c r="B33" t="s">
        <v>102</v>
      </c>
      <c r="C33" t="str">
        <f>[1]!DNAGetDate("BBPS.SCADA01.00312941")</f>
        <v>05-02-2019</v>
      </c>
      <c r="D33" t="str">
        <f>[1]!DNAGetTime("BBPS.SCADA01.00312941")</f>
        <v>09:47:02</v>
      </c>
      <c r="E33" s="1">
        <v>43587.40766203704</v>
      </c>
      <c r="F33">
        <f>[1]!DNAGetValue("BBPS.SCADA01.00312941")</f>
        <v>-0.29784074399999999</v>
      </c>
      <c r="G33" t="str">
        <f>[1]!DNAGetStatus("BBPS.SCADA01.00312941")</f>
        <v>OK</v>
      </c>
      <c r="H33">
        <f>SUM(F33:F36)</f>
        <v>-0.44676116199999993</v>
      </c>
    </row>
    <row r="34" spans="1:8">
      <c r="A34" t="s">
        <v>37</v>
      </c>
      <c r="B34" t="s">
        <v>103</v>
      </c>
      <c r="C34" t="str">
        <f>[1]!DNAGetDate("BBPS.SCADA01.00312961")</f>
        <v>05-02-2019</v>
      </c>
      <c r="D34" t="str">
        <f>[1]!DNAGetTime("BBPS.SCADA01.00312961")</f>
        <v>06:00:47</v>
      </c>
      <c r="E34" s="1">
        <v>43587.250543981485</v>
      </c>
      <c r="F34">
        <f>[1]!DNAGetValue("BBPS.SCADA01.00312961")</f>
        <v>-1.6381241099999999</v>
      </c>
      <c r="G34" t="str">
        <f>[1]!DNAGetStatus("BBPS.SCADA01.00312961")</f>
        <v>OK</v>
      </c>
    </row>
    <row r="35" spans="1:8">
      <c r="A35" t="s">
        <v>38</v>
      </c>
      <c r="B35" t="s">
        <v>104</v>
      </c>
      <c r="C35" t="str">
        <f>[1]!DNAGetDate("BBPS.SCADA01.00312970")</f>
        <v>05-02-2019</v>
      </c>
      <c r="D35" t="str">
        <f>[1]!DNAGetTime("BBPS.SCADA01.00312970")</f>
        <v>10:09:24</v>
      </c>
      <c r="E35" s="1">
        <v>43587.423194444447</v>
      </c>
      <c r="F35">
        <f>[1]!DNAGetValue("BBPS.SCADA01.00312970")</f>
        <v>0.59568148899999995</v>
      </c>
      <c r="G35" t="str">
        <f>[1]!DNAGetStatus("BBPS.SCADA01.00312970")</f>
        <v>OK</v>
      </c>
    </row>
    <row r="36" spans="1:8">
      <c r="A36" t="s">
        <v>39</v>
      </c>
      <c r="B36" t="s">
        <v>105</v>
      </c>
      <c r="C36" t="str">
        <f>[1]!DNAGetDate("BBPS.SCADA01.00312991")</f>
        <v>05-02-2019</v>
      </c>
      <c r="D36" t="str">
        <f>[1]!DNAGetTime("BBPS.SCADA01.00312991")</f>
        <v>10:09:27</v>
      </c>
      <c r="E36" s="1">
        <v>43587.423229166663</v>
      </c>
      <c r="F36">
        <f>[1]!DNAGetValue("BBPS.SCADA01.00312991")</f>
        <v>0.89352220299999996</v>
      </c>
      <c r="G36" t="str">
        <f>[1]!DNAGetStatus("BBPS.SCADA01.00312991")</f>
        <v>OK</v>
      </c>
    </row>
    <row r="37" spans="1:8">
      <c r="A37" t="s">
        <v>40</v>
      </c>
      <c r="B37" t="s">
        <v>106</v>
      </c>
      <c r="C37" t="str">
        <f>[1]!DNAGetDate("BBPS.SCADA01.00313330")</f>
        <v>05-02-2019</v>
      </c>
      <c r="D37" t="str">
        <f>[1]!DNAGetTime("BBPS.SCADA01.00313330")</f>
        <v>10:09:30</v>
      </c>
      <c r="E37" s="1">
        <v>43587.423263888886</v>
      </c>
      <c r="F37">
        <f>[1]!DNAGetValue("BBPS.SCADA01.00313330")</f>
        <v>120.941147</v>
      </c>
      <c r="G37" t="str">
        <f>[1]!DNAGetStatus("BBPS.SCADA01.00313330")</f>
        <v>OK</v>
      </c>
      <c r="H37">
        <f>SUM(F37:F40)</f>
        <v>120.941147</v>
      </c>
    </row>
    <row r="38" spans="1:8">
      <c r="A38" t="s">
        <v>41</v>
      </c>
      <c r="B38" t="s">
        <v>107</v>
      </c>
      <c r="C38" t="str">
        <f>[1]!DNAGetDate("BBPS.SCADA01.00313333")</f>
        <v>02-02-2019</v>
      </c>
      <c r="D38" t="str">
        <f>[1]!DNAGetTime("BBPS.SCADA01.00313333")</f>
        <v>19:14:29</v>
      </c>
      <c r="E38" s="1">
        <v>43498.801724537036</v>
      </c>
      <c r="F38">
        <f>[1]!DNAGetValue("BBPS.SCADA01.00313333")</f>
        <v>0</v>
      </c>
      <c r="G38" t="str">
        <f>[1]!DNAGetStatus("BBPS.SCADA01.00313333")</f>
        <v>OK</v>
      </c>
    </row>
    <row r="39" spans="1:8">
      <c r="A39" t="s">
        <v>42</v>
      </c>
      <c r="B39" t="s">
        <v>108</v>
      </c>
      <c r="C39" t="str">
        <f>[1]!DNAGetDate("BBPS.SCADA01.00314196")</f>
        <v>02-02-2019</v>
      </c>
      <c r="D39" t="str">
        <f>[1]!DNAGetTime("BBPS.SCADA01.00314196")</f>
        <v>19:14:29</v>
      </c>
      <c r="E39" s="1">
        <v>43498.801724537036</v>
      </c>
      <c r="F39">
        <f>[1]!DNAGetValue("BBPS.SCADA01.00314196")</f>
        <v>0</v>
      </c>
      <c r="G39" t="str">
        <f>[1]!DNAGetStatus("BBPS.SCADA01.00314196")</f>
        <v>OK</v>
      </c>
    </row>
    <row r="40" spans="1:8">
      <c r="A40" t="s">
        <v>43</v>
      </c>
      <c r="B40" t="s">
        <v>109</v>
      </c>
      <c r="C40" t="str">
        <f>[1]!DNAGetDate("BBPS.SCADA01.00314199")</f>
        <v>02-02-2019</v>
      </c>
      <c r="D40" t="str">
        <f>[1]!DNAGetTime("BBPS.SCADA01.00314199")</f>
        <v>19:14:11</v>
      </c>
      <c r="E40" s="1">
        <v>43498.801516203705</v>
      </c>
      <c r="F40">
        <f>[1]!DNAGetValue("BBPS.SCADA01.00314199")</f>
        <v>0</v>
      </c>
      <c r="G40" t="str">
        <f>[1]!DNAGetStatus("BBPS.SCADA01.00314199")</f>
        <v>OK</v>
      </c>
    </row>
    <row r="41" spans="1:8">
      <c r="A41" t="s">
        <v>44</v>
      </c>
      <c r="B41" t="s">
        <v>110</v>
      </c>
      <c r="C41" t="str">
        <f>[1]!DNAGetDate("BBPS.SCADA02.00001033")</f>
        <v>05-02-2019</v>
      </c>
      <c r="D41" t="str">
        <f>[1]!DNAGetTime("BBPS.SCADA02.00001033")</f>
        <v>10:09:32</v>
      </c>
      <c r="E41" s="1">
        <v>43587.42328703704</v>
      </c>
      <c r="F41">
        <f>[1]!DNAGetValue("BBPS.SCADA02.00001033")</f>
        <v>3895.5898400000001</v>
      </c>
      <c r="G41" t="str">
        <f>[1]!DNAGetStatus("BBPS.SCADA02.00001033")</f>
        <v>SUSPECT</v>
      </c>
    </row>
    <row r="42" spans="1:8">
      <c r="A42" t="s">
        <v>45</v>
      </c>
      <c r="B42" t="s">
        <v>111</v>
      </c>
      <c r="C42" t="str">
        <f>[1]!DNAGetDate("BBPS.SCADA02.00001034")</f>
        <v>05-02-2019</v>
      </c>
      <c r="D42" t="str">
        <f>[1]!DNAGetTime("BBPS.SCADA02.00001034")</f>
        <v>10:09:29</v>
      </c>
      <c r="E42" s="1">
        <v>43587.423252314817</v>
      </c>
      <c r="F42">
        <f>[1]!DNAGetValue("BBPS.SCADA02.00001034")</f>
        <v>2.9780154200000002</v>
      </c>
      <c r="G42" t="str">
        <f>[1]!DNAGetStatus("BBPS.SCADA02.00001034")</f>
        <v>OK</v>
      </c>
    </row>
    <row r="43" spans="1:8">
      <c r="A43" t="s">
        <v>46</v>
      </c>
      <c r="B43" t="s">
        <v>112</v>
      </c>
      <c r="C43" t="str">
        <f>[1]!DNAGetDate("BBPS.SCADA02.00001036")</f>
        <v>05-02-2019</v>
      </c>
      <c r="D43" t="str">
        <f>[1]!DNAGetTime("BBPS.SCADA02.00001036")</f>
        <v>10:09:27</v>
      </c>
      <c r="E43" s="1">
        <v>43587.423229166663</v>
      </c>
      <c r="F43">
        <f>[1]!DNAGetValue("BBPS.SCADA02.00001036")</f>
        <v>-0.44676116100000002</v>
      </c>
      <c r="G43" t="str">
        <f>[1]!DNAGetStatus("BBPS.SCADA02.00001036")</f>
        <v>OK</v>
      </c>
    </row>
    <row r="44" spans="1:8">
      <c r="A44" t="s">
        <v>47</v>
      </c>
      <c r="B44" t="s">
        <v>113</v>
      </c>
      <c r="C44" t="str">
        <f>[1]!DNAGetDate("BBPS.SCADA02.00001038")</f>
        <v>05-02-2019</v>
      </c>
      <c r="D44" t="str">
        <f>[1]!DNAGetTime("BBPS.SCADA02.00001038")</f>
        <v>10:09:29</v>
      </c>
      <c r="E44" s="1">
        <v>43587.423252314817</v>
      </c>
      <c r="F44">
        <f>[1]!DNAGetValue("BBPS.SCADA02.00001038")</f>
        <v>-2.2705910199999999</v>
      </c>
      <c r="G44" t="str">
        <f>[1]!DNAGetStatus("BBPS.SCADA02.00001038")</f>
        <v>OK</v>
      </c>
    </row>
    <row r="45" spans="1:8">
      <c r="A45" t="s">
        <v>48</v>
      </c>
      <c r="B45" t="s">
        <v>114</v>
      </c>
      <c r="C45" t="str">
        <f>[1]!DNAGetDate("BBPS.SCADA02.00001044")</f>
        <v>03-02-2019</v>
      </c>
      <c r="D45" t="str">
        <f>[1]!DNAGetTime("BBPS.SCADA02.00001044")</f>
        <v>05:56:44</v>
      </c>
      <c r="E45" s="1">
        <v>43526.247731481482</v>
      </c>
      <c r="F45">
        <f>[1]!DNAGetValue("BBPS.SCADA02.00001044")</f>
        <v>15</v>
      </c>
      <c r="G45" t="str">
        <f>[1]!DNAGetStatus("BBPS.SCADA02.00001044")</f>
        <v>SUSPECT</v>
      </c>
      <c r="H45">
        <f>F45</f>
        <v>15</v>
      </c>
    </row>
    <row r="46" spans="1:8">
      <c r="A46" t="s">
        <v>49</v>
      </c>
      <c r="B46" t="s">
        <v>115</v>
      </c>
      <c r="C46" t="str">
        <f>[1]!DNAGetDate("BBPS.SCADA02.00001048")</f>
        <v>05-02-2019</v>
      </c>
      <c r="D46" t="str">
        <f>[1]!DNAGetTime("BBPS.SCADA02.00001048")</f>
        <v>10:09:31</v>
      </c>
      <c r="E46" s="1">
        <v>43587.423275462963</v>
      </c>
      <c r="F46">
        <f>[1]!DNAGetValue("BBPS.SCADA02.00001048")</f>
        <v>215.91177400000001</v>
      </c>
      <c r="G46" t="str">
        <f>[1]!DNAGetStatus("BBPS.SCADA02.00001048")</f>
        <v>SUSPECT</v>
      </c>
      <c r="H46">
        <f>F46</f>
        <v>215.91177400000001</v>
      </c>
    </row>
    <row r="47" spans="1:8">
      <c r="A47" t="s">
        <v>50</v>
      </c>
      <c r="B47" t="s">
        <v>116</v>
      </c>
      <c r="C47" t="str">
        <f>[1]!DNAGetDate("BBPS.SCADA02.00006815")</f>
        <v>04-02-2019</v>
      </c>
      <c r="D47" t="str">
        <f>[1]!DNAGetTime("BBPS.SCADA02.00006815")</f>
        <v>13:28:10</v>
      </c>
      <c r="E47" s="1">
        <v>43557.561226851853</v>
      </c>
      <c r="F47">
        <f>[1]!DNAGetValue("BBPS.SCADA02.00006815")</f>
        <v>0</v>
      </c>
      <c r="G47" t="str">
        <f>[1]!DNAGetStatus("BBPS.SCADA02.00006815")</f>
        <v>OK</v>
      </c>
      <c r="H47">
        <f>SUM(F47:F48)</f>
        <v>248</v>
      </c>
    </row>
    <row r="48" spans="1:8">
      <c r="A48" t="s">
        <v>51</v>
      </c>
      <c r="B48" t="s">
        <v>117</v>
      </c>
      <c r="C48" t="str">
        <f>[1]!DNAGetDate("BBPS.SCADA02.00006830")</f>
        <v>05-02-2019</v>
      </c>
      <c r="D48" t="str">
        <f>[1]!DNAGetTime("BBPS.SCADA02.00006830")</f>
        <v>10:08:11</v>
      </c>
      <c r="E48" s="1">
        <v>43587.422349537039</v>
      </c>
      <c r="F48">
        <f>[1]!DNAGetValue("BBPS.SCADA02.00006830")</f>
        <v>248</v>
      </c>
      <c r="G48" t="str">
        <f>[1]!DNAGetStatus("BBPS.SCADA02.00006830")</f>
        <v>OK</v>
      </c>
    </row>
    <row r="49" spans="1:7">
      <c r="A49" t="s">
        <v>52</v>
      </c>
      <c r="B49" t="s">
        <v>118</v>
      </c>
      <c r="C49" t="str">
        <f>[1]!DNAGetDate("BBPS.SCADA02.00011423")</f>
        <v>05-02-2019</v>
      </c>
      <c r="D49" t="str">
        <f>[1]!DNAGetTime("BBPS.SCADA02.00011423")</f>
        <v>10:09:31</v>
      </c>
      <c r="E49" s="1">
        <v>43587.423275462963</v>
      </c>
      <c r="F49">
        <f>[1]!DNAGetValue("BBPS.SCADA02.00011423")</f>
        <v>2145.00488</v>
      </c>
      <c r="G49" t="str">
        <f>[1]!DNAGetStatus("BBPS.SCADA02.00011423")</f>
        <v>OK</v>
      </c>
    </row>
    <row r="50" spans="1:7">
      <c r="A50" t="s">
        <v>53</v>
      </c>
      <c r="B50" t="s">
        <v>119</v>
      </c>
      <c r="C50" t="str">
        <f>[1]!DNAGetDate("BBPS.SCADA02.00011427")</f>
        <v>05-02-2019</v>
      </c>
      <c r="D50" t="str">
        <f>[1]!DNAGetTime("BBPS.SCADA02.00011427")</f>
        <v>10:09:28</v>
      </c>
      <c r="E50" s="1">
        <v>43587.42324074074</v>
      </c>
      <c r="F50">
        <f>[1]!DNAGetValue("BBPS.SCADA02.00011427")</f>
        <v>11949.293</v>
      </c>
      <c r="G50" t="str">
        <f>[1]!DNAGetStatus("BBPS.SCADA02.00011427")</f>
        <v>OK</v>
      </c>
    </row>
    <row r="51" spans="1:7">
      <c r="A51" t="s">
        <v>54</v>
      </c>
      <c r="B51" t="s">
        <v>120</v>
      </c>
      <c r="C51" t="str">
        <f>[1]!DNAGetDate("BBPS.SCADA02.00011430")</f>
        <v>05-02-2019</v>
      </c>
      <c r="D51" t="str">
        <f>[1]!DNAGetTime("BBPS.SCADA02.00011430")</f>
        <v>10:09:31</v>
      </c>
      <c r="E51" s="1">
        <v>43587.423275462963</v>
      </c>
      <c r="F51">
        <f>[1]!DNAGetValue("BBPS.SCADA02.00011430")</f>
        <v>11242.6729</v>
      </c>
      <c r="G51" t="str">
        <f>[1]!DNAGetStatus("BBPS.SCADA02.00011430")</f>
        <v>OK</v>
      </c>
    </row>
    <row r="52" spans="1:7">
      <c r="A52" t="s">
        <v>55</v>
      </c>
      <c r="B52" t="s">
        <v>121</v>
      </c>
      <c r="C52" t="str">
        <f>[1]!DNAGetDate("BBPS.SCADA02.00011432")</f>
        <v>05-02-2019</v>
      </c>
      <c r="D52" t="str">
        <f>[1]!DNAGetTime("BBPS.SCADA02.00011432")</f>
        <v>10:09:28</v>
      </c>
      <c r="E52" s="1">
        <v>43587.42324074074</v>
      </c>
      <c r="F52">
        <f>[1]!DNAGetValue("BBPS.SCADA02.00011432")</f>
        <v>5242.1054700000004</v>
      </c>
      <c r="G52" t="str">
        <f>[1]!DNAGetStatus("BBPS.SCADA02.00011432")</f>
        <v>OK</v>
      </c>
    </row>
    <row r="53" spans="1:7">
      <c r="A53" t="s">
        <v>56</v>
      </c>
      <c r="B53" t="s">
        <v>122</v>
      </c>
      <c r="C53" t="str">
        <f>[1]!DNAGetDate("BBPS.SCADA02.00011434")</f>
        <v>05-02-2019</v>
      </c>
      <c r="D53" t="str">
        <f>[1]!DNAGetTime("BBPS.SCADA02.00011434")</f>
        <v>10:09:31</v>
      </c>
      <c r="E53" s="1">
        <v>43587.423275462963</v>
      </c>
      <c r="F53">
        <f>[1]!DNAGetValue("BBPS.SCADA02.00011434")</f>
        <v>2239.0334499999999</v>
      </c>
      <c r="G53" t="str">
        <f>[1]!DNAGetStatus("BBPS.SCADA02.00011434")</f>
        <v>OK</v>
      </c>
    </row>
    <row r="54" spans="1:7">
      <c r="A54" t="s">
        <v>57</v>
      </c>
      <c r="B54" t="s">
        <v>123</v>
      </c>
      <c r="C54" t="str">
        <f>[1]!DNAGetDate("BBPS.SCADA02.00011436")</f>
        <v>05-02-2019</v>
      </c>
      <c r="D54" t="str">
        <f>[1]!DNAGetTime("BBPS.SCADA02.00011436")</f>
        <v>10:09:28</v>
      </c>
      <c r="E54" s="1">
        <v>43587.42324074074</v>
      </c>
      <c r="F54">
        <f>[1]!DNAGetValue("BBPS.SCADA02.00011436")</f>
        <v>5882.8227500000003</v>
      </c>
      <c r="G54" t="str">
        <f>[1]!DNAGetStatus("BBPS.SCADA02.00011436")</f>
        <v>OK</v>
      </c>
    </row>
    <row r="55" spans="1:7">
      <c r="A55" t="s">
        <v>58</v>
      </c>
      <c r="B55" t="s">
        <v>124</v>
      </c>
      <c r="C55" t="str">
        <f>[1]!DNAGetDate("BBPS.SCADA02.00011438")</f>
        <v>05-02-2019</v>
      </c>
      <c r="D55" t="str">
        <f>[1]!DNAGetTime("BBPS.SCADA02.00011438")</f>
        <v>10:09:31</v>
      </c>
      <c r="E55" s="1">
        <v>43587.423275462963</v>
      </c>
      <c r="F55">
        <f>[1]!DNAGetValue("BBPS.SCADA02.00011438")</f>
        <v>1639.2760000000001</v>
      </c>
      <c r="G55" t="str">
        <f>[1]!DNAGetStatus("BBPS.SCADA02.00011438")</f>
        <v>OK</v>
      </c>
    </row>
    <row r="56" spans="1:7">
      <c r="A56" t="s">
        <v>59</v>
      </c>
      <c r="B56" t="s">
        <v>125</v>
      </c>
      <c r="C56" t="str">
        <f>[1]!DNAGetDate("BBPS.SCADA02.00011440")</f>
        <v>05-02-2019</v>
      </c>
      <c r="D56" t="str">
        <f>[1]!DNAGetTime("BBPS.SCADA02.00011440")</f>
        <v>10:09:31</v>
      </c>
      <c r="E56" s="1">
        <v>43587.423275462963</v>
      </c>
      <c r="F56">
        <f>[1]!DNAGetValue("BBPS.SCADA02.00011440")</f>
        <v>4061.5314899999998</v>
      </c>
      <c r="G56" t="str">
        <f>[1]!DNAGetStatus("BBPS.SCADA02.00011440")</f>
        <v>OK</v>
      </c>
    </row>
    <row r="57" spans="1:7">
      <c r="A57" t="s">
        <v>60</v>
      </c>
      <c r="B57" t="s">
        <v>126</v>
      </c>
      <c r="C57" t="str">
        <f>[1]!DNAGetDate("BBPS.SCADA02.00012187")</f>
        <v>05-02-2019</v>
      </c>
      <c r="D57" t="str">
        <f>[1]!DNAGetTime("BBPS.SCADA02.00012187")</f>
        <v>10:09:31</v>
      </c>
      <c r="E57" s="1">
        <v>43587.423275462963</v>
      </c>
      <c r="F57">
        <f>[1]!DNAGetValue("BBPS.SCADA02.00012187")</f>
        <v>3619.4562999999998</v>
      </c>
      <c r="G57" t="str">
        <f>[1]!DNAGetStatus("BBPS.SCADA02.00012187")</f>
        <v>OK</v>
      </c>
    </row>
    <row r="58" spans="1:7">
      <c r="A58" t="s">
        <v>61</v>
      </c>
      <c r="B58" t="s">
        <v>127</v>
      </c>
      <c r="C58" t="str">
        <f>[1]!DNAGetDate("BBPS.SCADA02.00012190")</f>
        <v>05-02-2019</v>
      </c>
      <c r="D58" t="str">
        <f>[1]!DNAGetTime("BBPS.SCADA02.00012190")</f>
        <v>10:09:28</v>
      </c>
      <c r="E58" s="1">
        <v>43587.42324074074</v>
      </c>
      <c r="F58">
        <f>[1]!DNAGetValue("BBPS.SCADA02.00012190")</f>
        <v>-62.813232399999997</v>
      </c>
      <c r="G58" t="str">
        <f>[1]!DNAGetStatus("BBPS.SCADA02.00012190")</f>
        <v>OK</v>
      </c>
    </row>
    <row r="59" spans="1:7">
      <c r="A59" t="s">
        <v>62</v>
      </c>
      <c r="B59" t="s">
        <v>128</v>
      </c>
      <c r="C59" t="str">
        <f>[1]!DNAGetDate("BBPS.SCADA02.00012219")</f>
        <v>05-02-2019</v>
      </c>
      <c r="D59" t="str">
        <f>[1]!DNAGetTime("BBPS.SCADA02.00012219")</f>
        <v>10:09:31</v>
      </c>
      <c r="E59" s="1">
        <v>43587.423275462963</v>
      </c>
      <c r="F59">
        <f>[1]!DNAGetValue("BBPS.SCADA02.00012219")</f>
        <v>227.091553</v>
      </c>
      <c r="G59" t="str">
        <f>[1]!DNAGetStatus("BBPS.SCADA02.00012219")</f>
        <v>OK</v>
      </c>
    </row>
    <row r="60" spans="1:7">
      <c r="A60" t="s">
        <v>63</v>
      </c>
      <c r="B60" t="s">
        <v>129</v>
      </c>
      <c r="C60" t="str">
        <f>[1]!DNAGetDate("BBPS.SCADA02.00012223")</f>
        <v>05-02-2019</v>
      </c>
      <c r="D60" t="str">
        <f>[1]!DNAGetTime("BBPS.SCADA02.00012223")</f>
        <v>10:09:31</v>
      </c>
      <c r="E60" s="1">
        <v>43587.423275462963</v>
      </c>
      <c r="F60">
        <f>[1]!DNAGetValue("BBPS.SCADA02.00012223")</f>
        <v>2061.7334000000001</v>
      </c>
      <c r="G60" t="str">
        <f>[1]!DNAGetStatus("BBPS.SCADA02.00012223")</f>
        <v>OK</v>
      </c>
    </row>
    <row r="61" spans="1:7">
      <c r="A61" t="s">
        <v>64</v>
      </c>
      <c r="B61" t="s">
        <v>130</v>
      </c>
      <c r="C61" t="str">
        <f>[1]!DNAGetDate("BBPS.SCADA02.00012228")</f>
        <v>05-02-2019</v>
      </c>
      <c r="D61" t="str">
        <f>[1]!DNAGetTime("BBPS.SCADA02.00012228")</f>
        <v>10:09:28</v>
      </c>
      <c r="E61" s="1">
        <v>43587.42324074074</v>
      </c>
      <c r="F61">
        <f>[1]!DNAGetValue("BBPS.SCADA02.00012228")</f>
        <v>154.061768</v>
      </c>
      <c r="G61" t="str">
        <f>[1]!DNAGetStatus("BBPS.SCADA02.00012228")</f>
        <v>OK</v>
      </c>
    </row>
    <row r="62" spans="1:7">
      <c r="A62" t="s">
        <v>65</v>
      </c>
      <c r="B62" t="s">
        <v>131</v>
      </c>
      <c r="C62" t="str">
        <f>[1]!DNAGetDate("BBPS.SCADA02.00012242")</f>
        <v>05-02-2019</v>
      </c>
      <c r="D62" t="str">
        <f>[1]!DNAGetTime("BBPS.SCADA02.00012242")</f>
        <v>10:09:28</v>
      </c>
      <c r="E62" s="1">
        <v>43587.42324074074</v>
      </c>
      <c r="F62">
        <f>[1]!DNAGetValue("BBPS.SCADA02.00012242")</f>
        <v>3689.8051799999998</v>
      </c>
      <c r="G62" t="str">
        <f>[1]!DNAGetStatus("BBPS.SCADA02.00012242")</f>
        <v>OK</v>
      </c>
    </row>
    <row r="63" spans="1:7">
      <c r="A63" t="s">
        <v>66</v>
      </c>
      <c r="B63" t="s">
        <v>132</v>
      </c>
      <c r="C63" t="str">
        <f>[1]!DNAGetDate("BBPS.SCADA02.00012249")</f>
        <v>05-02-2019</v>
      </c>
      <c r="D63" t="str">
        <f>[1]!DNAGetTime("BBPS.SCADA02.00012249")</f>
        <v>10:09:31</v>
      </c>
      <c r="E63" s="1">
        <v>43587.423275462963</v>
      </c>
      <c r="F63">
        <f>[1]!DNAGetValue("BBPS.SCADA02.00012249")</f>
        <v>117.88256800000001</v>
      </c>
      <c r="G63" t="str">
        <f>[1]!DNAGetStatus("BBPS.SCADA02.00012249")</f>
        <v>OK</v>
      </c>
    </row>
    <row r="64" spans="1:7">
      <c r="A64" t="s">
        <v>67</v>
      </c>
      <c r="B64" t="s">
        <v>151</v>
      </c>
      <c r="C64" t="str">
        <f>[1]!DNAGetDate("BBPS.SCADA02.00012255")</f>
        <v>05-02-2019</v>
      </c>
      <c r="D64" t="str">
        <f>[1]!DNAGetTime("BBPS.SCADA02.00012255")</f>
        <v>10:09:31</v>
      </c>
      <c r="E64" s="1">
        <v>43587.423275462963</v>
      </c>
      <c r="F64">
        <f>[1]!DNAGetValue("BBPS.SCADA02.00012255")</f>
        <v>1240.21973</v>
      </c>
      <c r="G64" t="str">
        <f>[1]!DNAGetStatus("BBPS.SCADA02.00012255")</f>
        <v>OK</v>
      </c>
    </row>
    <row r="65" spans="1:8">
      <c r="A65" t="s">
        <v>68</v>
      </c>
      <c r="B65" t="s">
        <v>133</v>
      </c>
      <c r="C65" t="str">
        <f>[1]!DNAGetDate("BBPS.SCADA02.00012275")</f>
        <v>05-02-2019</v>
      </c>
      <c r="D65" t="str">
        <f>[1]!DNAGetTime("BBPS.SCADA02.00012275")</f>
        <v>10:09:31</v>
      </c>
      <c r="E65" s="1">
        <v>43587.423275462963</v>
      </c>
      <c r="F65">
        <f>[1]!DNAGetValue("BBPS.SCADA02.00012275")</f>
        <v>3891.7023899999999</v>
      </c>
      <c r="G65" t="str">
        <f>[1]!DNAGetStatus("BBPS.SCADA02.00012275")</f>
        <v>OK</v>
      </c>
    </row>
    <row r="66" spans="1:8">
      <c r="A66" t="s">
        <v>153</v>
      </c>
      <c r="B66" t="s">
        <v>152</v>
      </c>
      <c r="C66" t="str">
        <f>[1]!DNAGetDate("BBPS.SCADA02.00012263")</f>
        <v>05-02-2019</v>
      </c>
      <c r="D66" t="str">
        <f>[1]!DNAGetTime("BBPS.SCADA02.00012263")</f>
        <v>10:09:28</v>
      </c>
      <c r="E66" s="1">
        <v>43587.42324074074</v>
      </c>
      <c r="F66">
        <f>[1]!DNAGetValue("BBPS.SCADA02.00012263")</f>
        <v>31.106201200000001</v>
      </c>
      <c r="G66" t="str">
        <f>[1]!DNAGetStatus("BBPS.SCADA02.00012263")</f>
        <v>OK</v>
      </c>
    </row>
    <row r="67" spans="1:8">
      <c r="A67" t="s">
        <v>69</v>
      </c>
      <c r="B67" t="s">
        <v>134</v>
      </c>
      <c r="C67" t="str">
        <f>[1]!DNAGetDate("BBPS.SCADA02.00052933")</f>
        <v>05-02-2019</v>
      </c>
      <c r="D67" t="str">
        <f>[1]!DNAGetTime("BBPS.SCADA02.00052933")</f>
        <v>10:09:27</v>
      </c>
      <c r="E67" s="1">
        <v>43587.423229166663</v>
      </c>
      <c r="F67">
        <f>[1]!DNAGetValue("BBPS.SCADA02.00052933")</f>
        <v>16.6737003</v>
      </c>
      <c r="G67" t="str">
        <f>[1]!DNAGetStatus("BBPS.SCADA02.00052933")</f>
        <v>OK</v>
      </c>
      <c r="H67">
        <f>SUM(F67:F68)</f>
        <v>31.288844099999999</v>
      </c>
    </row>
    <row r="68" spans="1:8">
      <c r="A68" t="s">
        <v>70</v>
      </c>
      <c r="B68" t="s">
        <v>135</v>
      </c>
      <c r="C68" t="str">
        <f>[1]!DNAGetDate("BBPS.SCADA02.00052934")</f>
        <v>05-02-2019</v>
      </c>
      <c r="D68" t="str">
        <f>[1]!DNAGetTime("BBPS.SCADA02.00052934")</f>
        <v>10:09:30</v>
      </c>
      <c r="E68" s="1">
        <v>43587.423263888886</v>
      </c>
      <c r="F68">
        <f>[1]!DNAGetValue("BBPS.SCADA02.00052934")</f>
        <v>14.6151438</v>
      </c>
      <c r="G68" t="str">
        <f>[1]!DNAGetStatus("BBPS.SCADA02.00052934")</f>
        <v>OK</v>
      </c>
    </row>
    <row r="69" spans="1:8">
      <c r="A69" t="s">
        <v>140</v>
      </c>
      <c r="B69" t="s">
        <v>136</v>
      </c>
      <c r="C69" t="str">
        <f>[1]!DNAGetDate("BBPS.SCADA02.00054390")</f>
        <v>05-02-2019</v>
      </c>
      <c r="D69" t="str">
        <f>[1]!DNAGetTime("BBPS.SCADA02.00054390")</f>
        <v>10:09:31</v>
      </c>
      <c r="E69" s="1" t="s">
        <v>536</v>
      </c>
      <c r="F69">
        <f>[1]!DNAGetValue("BBPS.SCADA02.00054390")</f>
        <v>49.968036699999999</v>
      </c>
      <c r="G69" t="str">
        <f>[1]!DNAGetStatus("BBPS.SCADA02.00054390")</f>
        <v>OK</v>
      </c>
    </row>
    <row r="70" spans="1:8">
      <c r="A70" t="s">
        <v>138</v>
      </c>
      <c r="B70" t="s">
        <v>142</v>
      </c>
      <c r="C70" t="str">
        <f>[1]!DNAGetDate("BBPS.SCADA01.00314507")</f>
        <v>05-02-2019</v>
      </c>
      <c r="D70" t="str">
        <f>[1]!DNAGetTime("BBPS.SCADA01.00314507")</f>
        <v>10:09:31</v>
      </c>
      <c r="E70" s="1">
        <v>43587.423275462963</v>
      </c>
      <c r="F70">
        <f>[1]!DNAGetValue("BBPS.SCADA01.00314507")</f>
        <v>49.970798500000001</v>
      </c>
      <c r="G70" t="str">
        <f>[1]!DNAGetStatus("BBPS.SCADA01.00314507")</f>
        <v>OK</v>
      </c>
    </row>
    <row r="71" spans="1:8">
      <c r="A71" t="s">
        <v>139</v>
      </c>
      <c r="B71" t="s">
        <v>137</v>
      </c>
      <c r="C71" t="str">
        <f>[1]!DNAGetDate("BBPS.SCADA02.00012200")</f>
        <v>05-02-2019</v>
      </c>
      <c r="D71" t="str">
        <f>[1]!DNAGetTime("BBPS.SCADA02.00012200")</f>
        <v>10:09:28</v>
      </c>
      <c r="E71" s="1">
        <v>43587.42324074074</v>
      </c>
      <c r="F71">
        <f>[1]!DNAGetValue("BBPS.SCADA02.00012200")</f>
        <v>1353.2686799999999</v>
      </c>
      <c r="G71" t="str">
        <f>[1]!DNAGetStatus("BBPS.SCADA02.00012200")</f>
        <v>OK</v>
      </c>
    </row>
    <row r="72" spans="1:8">
      <c r="A72" t="s">
        <v>146</v>
      </c>
      <c r="B72" t="s">
        <v>142</v>
      </c>
      <c r="C72" t="str">
        <f>[1]!DNAGetDate("BBPS.SCADA01.00314507")</f>
        <v>05-02-2019</v>
      </c>
      <c r="D72" t="str">
        <f>[1]!DNAGetTime("BBPS.SCADA01.00314507")</f>
        <v>10:09:31</v>
      </c>
      <c r="E72" s="1">
        <v>43587.423275462963</v>
      </c>
      <c r="F72">
        <f>[1]!DNAGetValue("BBPS.SCADA01.00314507")</f>
        <v>49.970798500000001</v>
      </c>
      <c r="G72" t="str">
        <f>[1]!DNAGetStatus("BBPS.SCADA01.00314507")</f>
        <v>OK</v>
      </c>
      <c r="H72">
        <f>ROUND(SUM(H23+H29+H33),0)</f>
        <v>0</v>
      </c>
    </row>
    <row r="73" spans="1:8">
      <c r="A73" t="s">
        <v>148</v>
      </c>
      <c r="B73" t="s">
        <v>144</v>
      </c>
      <c r="C73" t="str">
        <f>[1]!DNAGetDate("BBPS.SCADA01.00310504")</f>
        <v>05-02-2019</v>
      </c>
      <c r="D73" t="str">
        <f>[1]!DNAGetTime("BBPS.SCADA01.00310504")</f>
        <v>10:09:31</v>
      </c>
      <c r="E73" s="1">
        <v>43587.423275462963</v>
      </c>
      <c r="F73">
        <f>[1]!DNAGetValue("BBPS.SCADA01.00310504")</f>
        <v>49.968036699999999</v>
      </c>
      <c r="G73" t="str">
        <f>[1]!DNAGetStatus("BBPS.SCADA01.00310504")</f>
        <v>OK</v>
      </c>
      <c r="H73">
        <v>0</v>
      </c>
    </row>
    <row r="74" spans="1:8">
      <c r="A74" t="s">
        <v>149</v>
      </c>
      <c r="B74" t="s">
        <v>145</v>
      </c>
      <c r="C74" t="str">
        <f>[1]!DNAGetDate("BBPS.SCADA01.00311823")</f>
        <v>05-02-2019</v>
      </c>
      <c r="D74" t="str">
        <f>[1]!DNAGetTime("BBPS.SCADA01.00311823")</f>
        <v>10:09:31</v>
      </c>
      <c r="E74" s="1">
        <v>43587.423275462963</v>
      </c>
      <c r="F74">
        <f>[1]!DNAGetValue("BBPS.SCADA01.00311823")</f>
        <v>49.970962499999999</v>
      </c>
      <c r="G74" t="str">
        <f>[1]!DNAGetStatus("BBPS.SCADA01.00311823")</f>
        <v>OK</v>
      </c>
      <c r="H74">
        <v>0</v>
      </c>
    </row>
    <row r="75" spans="1:8">
      <c r="A75" t="s">
        <v>150</v>
      </c>
      <c r="B75" t="s">
        <v>141</v>
      </c>
      <c r="C75" t="str">
        <f>[1]!DNAGetDate("BBPS.SCADA01.00296276")</f>
        <v>05-02-2019</v>
      </c>
      <c r="D75" t="str">
        <f>[1]!DNAGetTime("BBPS.SCADA01.00296276")</f>
        <v>10:09:31</v>
      </c>
      <c r="E75" s="1">
        <v>43587.423136574071</v>
      </c>
      <c r="F75">
        <f>[1]!DNAGetValue("BBPS.SCADA01.00296276")</f>
        <v>49.969013199999999</v>
      </c>
      <c r="G75" t="str">
        <f>[1]!DNAGetStatus("BBPS.SCADA01.00296276")</f>
        <v>OK</v>
      </c>
      <c r="H75">
        <v>0</v>
      </c>
    </row>
    <row r="76" spans="1:8">
      <c r="A76" t="s">
        <v>147</v>
      </c>
      <c r="B76" t="s">
        <v>143</v>
      </c>
      <c r="C76" t="str">
        <f>[1]!DNAGetDate("BBPS.SCADA01.00006255")</f>
        <v>05-02-2019</v>
      </c>
      <c r="D76" t="str">
        <f>[1]!DNAGetTime("BBPS.SCADA01.00006255")</f>
        <v>10:09:19</v>
      </c>
      <c r="E76" s="1">
        <v>43587.423275462963</v>
      </c>
      <c r="F76">
        <f>[1]!DNAGetValue("BBPS.SCADA01.00006255")</f>
        <v>49.964290599999998</v>
      </c>
      <c r="G76" t="str">
        <f>[1]!DNAGetStatus("BBPS.SCADA01.00006255")</f>
        <v>OK</v>
      </c>
    </row>
    <row r="77" spans="1:8">
      <c r="A77" t="s">
        <v>155</v>
      </c>
      <c r="B77" t="s">
        <v>154</v>
      </c>
      <c r="C77" t="str">
        <f>[1]!DNAGetDate("BBPS.SCADA01.00006146")</f>
        <v>05-02-2019</v>
      </c>
      <c r="D77" t="str">
        <f>[1]!DNAGetTime("BBPS.SCADA01.00006146")</f>
        <v>10:08:48</v>
      </c>
      <c r="E77" s="1">
        <v>43587.422777777778</v>
      </c>
      <c r="F77">
        <f>[1]!DNAGetValue("BBPS.SCADA01.00006146")</f>
        <v>498</v>
      </c>
      <c r="G77" t="str">
        <f>[1]!DNAGetStatus("BBPS.SCADA01.00006146")</f>
        <v>OK</v>
      </c>
    </row>
    <row r="78" spans="1:8">
      <c r="A78" t="s">
        <v>517</v>
      </c>
      <c r="B78" t="s">
        <v>518</v>
      </c>
      <c r="C78" t="str">
        <f>[1]!DNAGetDate("BBPS.SCADA04.00017298")</f>
        <v>05-02-2019</v>
      </c>
      <c r="D78" t="str">
        <f>[1]!DNAGetTime("BBPS.SCADA04.00017298")</f>
        <v>10:09:30</v>
      </c>
      <c r="E78" s="1">
        <v>43587.423263888886</v>
      </c>
      <c r="F78">
        <f>[1]!DNAGetValue("BBPS.SCADA04.00017298")</f>
        <v>437.16580199999999</v>
      </c>
      <c r="G78" t="str">
        <f>[1]!DNAGetStatus("BBPS.SCADA04.00017298")</f>
        <v>SUSPECT</v>
      </c>
      <c r="H78" s="2">
        <v>0.42324074074074075</v>
      </c>
    </row>
    <row r="79" spans="1:8">
      <c r="A79" t="s">
        <v>159</v>
      </c>
      <c r="B79" t="s">
        <v>156</v>
      </c>
      <c r="C79" t="str">
        <f>[1]!DNAGetDate("BBPS.SCADA03.00259757")</f>
        <v>04-02-2019</v>
      </c>
      <c r="D79" t="str">
        <f>[1]!DNAGetTime("BBPS.SCADA03.00259757")</f>
        <v>16:49:25</v>
      </c>
      <c r="E79" s="1">
        <v>43557.700983796298</v>
      </c>
      <c r="F79">
        <f>[1]!DNAGetValue("BBPS.SCADA03.00259757")</f>
        <v>2.0789761499999999</v>
      </c>
      <c r="G79" t="str">
        <f>[1]!DNAGetStatus("BBPS.SCADA03.00259757")</f>
        <v>SUSPECT</v>
      </c>
      <c r="H79" s="2">
        <v>0.4230902777777778</v>
      </c>
    </row>
    <row r="80" spans="1:8">
      <c r="A80" t="s">
        <v>160</v>
      </c>
      <c r="B80" t="s">
        <v>157</v>
      </c>
      <c r="C80" t="str">
        <f>[1]!DNAGetDate("BBPS.SCADA03.00255898")</f>
        <v>05-02-2019</v>
      </c>
      <c r="D80" t="str">
        <f>[1]!DNAGetTime("BBPS.SCADA03.00255898")</f>
        <v>10:09:27</v>
      </c>
      <c r="E80" s="1">
        <v>43587.423229166663</v>
      </c>
      <c r="F80">
        <f>[1]!DNAGetValue("BBPS.SCADA03.00255898")</f>
        <v>61.699706999999997</v>
      </c>
      <c r="G80" t="str">
        <f>[1]!DNAGetStatus("BBPS.SCADA03.00255898")</f>
        <v>OK</v>
      </c>
      <c r="H80" s="2">
        <v>0.42502314814814812</v>
      </c>
    </row>
    <row r="81" spans="1:8">
      <c r="A81" t="s">
        <v>161</v>
      </c>
      <c r="B81" t="s">
        <v>158</v>
      </c>
      <c r="C81" t="str">
        <f>[1]!DNAGetDate("BBPS.SCADA03.00260586")</f>
        <v>05-02-2019</v>
      </c>
      <c r="D81" t="str">
        <f>[1]!DNAGetTime("BBPS.SCADA03.00260586")</f>
        <v>10:09:30</v>
      </c>
      <c r="E81" s="1">
        <v>43587.423263888886</v>
      </c>
      <c r="F81">
        <f>[1]!DNAGetValue("BBPS.SCADA03.00260586")</f>
        <v>5.9871521000000003</v>
      </c>
      <c r="G81" t="str">
        <f>[1]!DNAGetStatus("BBPS.SCADA03.00260586")</f>
        <v>OK</v>
      </c>
      <c r="H81" t="s">
        <v>535</v>
      </c>
    </row>
    <row r="82" spans="1:8">
      <c r="C82" t="str">
        <f>[1]!DNAGetDate("BBPS.SCADA03.00260586")</f>
        <v>11-01-2019</v>
      </c>
    </row>
    <row r="84" spans="1:8">
      <c r="A84" t="s">
        <v>534</v>
      </c>
      <c r="C84" t="str">
        <f>[1]!DNAGetDate("BBPS.SCADA04.00093164")</f>
        <v>05-02-2019</v>
      </c>
      <c r="D84" t="str">
        <f>[1]!DNAGetTime("BBPS.SCADA04.00093164")</f>
        <v>10:08:46</v>
      </c>
      <c r="E84" s="1">
        <v>43587.422754629632</v>
      </c>
      <c r="F84">
        <f>[1]!DNAGetValue("BBPS.SCADA04.00093164")</f>
        <v>436.98501599999997</v>
      </c>
      <c r="G84" t="str">
        <f>[1]!DNAGetStatus("BBPS.SCADA04.00093164")</f>
        <v>OK</v>
      </c>
    </row>
    <row r="101" spans="1:7">
      <c r="A101" t="s">
        <v>162</v>
      </c>
      <c r="B101" t="s">
        <v>183</v>
      </c>
      <c r="C101" t="str">
        <f>[1]!DNAGetDate("BBPS.SCADA03.00255765")</f>
        <v>05-02-2019</v>
      </c>
      <c r="D101" t="str">
        <f>[1]!DNAGetTime("BBPS.SCADA03.00255765")</f>
        <v>10:09:27</v>
      </c>
      <c r="E101" s="1">
        <v>43587.423229166663</v>
      </c>
      <c r="F101">
        <f>[1]!DNAGetValue("BBPS.SCADA03.00255765")</f>
        <v>30.7368202</v>
      </c>
      <c r="G101" t="str">
        <f>[1]!DNAGetStatus("BBPS.SCADA03.00255765")</f>
        <v>OK</v>
      </c>
    </row>
    <row r="102" spans="1:7">
      <c r="A102" t="s">
        <v>163</v>
      </c>
      <c r="B102" t="s">
        <v>184</v>
      </c>
      <c r="C102" t="str">
        <f>[1]!DNAGetDate("BBPS.SCADA03.00255768")</f>
        <v>05-02-2019</v>
      </c>
      <c r="D102" t="str">
        <f>[1]!DNAGetTime("BBPS.SCADA03.00255768")</f>
        <v>10:09:27</v>
      </c>
      <c r="E102" s="1">
        <v>43587.423229166663</v>
      </c>
      <c r="F102">
        <f>[1]!DNAGetValue("BBPS.SCADA03.00255768")</f>
        <v>30.962884899999999</v>
      </c>
      <c r="G102" t="str">
        <f>[1]!DNAGetStatus("BBPS.SCADA03.00255768")</f>
        <v>OK</v>
      </c>
    </row>
    <row r="103" spans="1:7">
      <c r="A103" t="s">
        <v>285</v>
      </c>
      <c r="B103" t="s">
        <v>157</v>
      </c>
      <c r="C103" t="str">
        <f>[1]!DNAGetDate("BBPS.SCADA03.00255898")</f>
        <v>05-02-2019</v>
      </c>
      <c r="D103" t="str">
        <f>[1]!DNAGetTime("BBPS.SCADA03.00255898")</f>
        <v>10:09:27</v>
      </c>
      <c r="E103" s="1">
        <v>43587.423229166663</v>
      </c>
      <c r="F103">
        <f>[1]!DNAGetValue("BBPS.SCADA03.00255898")</f>
        <v>61.699706999999997</v>
      </c>
      <c r="G103" t="str">
        <f>[1]!DNAGetStatus("BBPS.SCADA03.00255898")</f>
        <v>OK</v>
      </c>
    </row>
    <row r="104" spans="1:7">
      <c r="A104" t="s">
        <v>164</v>
      </c>
      <c r="B104" t="s">
        <v>198</v>
      </c>
      <c r="C104" t="str">
        <f>[1]!DNAGetDate("BBPS.SCADA03.00259654")</f>
        <v>04-02-2019</v>
      </c>
      <c r="D104" t="str">
        <f>[1]!DNAGetTime("BBPS.SCADA03.00259654")</f>
        <v>16:42:20</v>
      </c>
      <c r="E104" s="1">
        <v>43557.696064814816</v>
      </c>
      <c r="F104">
        <f>[1]!DNAGetValue("BBPS.SCADA03.00259654")</f>
        <v>0.78393602399999995</v>
      </c>
      <c r="G104" t="str">
        <f>[1]!DNAGetStatus("BBPS.SCADA03.00259654")</f>
        <v>SUSPECT</v>
      </c>
    </row>
    <row r="105" spans="1:7">
      <c r="A105" t="s">
        <v>165</v>
      </c>
      <c r="B105" t="s">
        <v>199</v>
      </c>
      <c r="C105" t="str">
        <f>[1]!DNAGetDate("BBPS.SCADA03.00259672")</f>
        <v>04-02-2019</v>
      </c>
      <c r="D105" t="str">
        <f>[1]!DNAGetTime("BBPS.SCADA03.00259672")</f>
        <v>16:42:20</v>
      </c>
      <c r="E105" s="1">
        <v>43557.696064814816</v>
      </c>
      <c r="F105">
        <f>[1]!DNAGetValue("BBPS.SCADA03.00259672")</f>
        <v>0.78144002000000001</v>
      </c>
      <c r="G105" t="str">
        <f>[1]!DNAGetStatus("BBPS.SCADA03.00259672")</f>
        <v>SUSPECT</v>
      </c>
    </row>
    <row r="106" spans="1:7">
      <c r="A106" t="s">
        <v>166</v>
      </c>
      <c r="B106" t="s">
        <v>200</v>
      </c>
      <c r="C106" t="str">
        <f>[1]!DNAGetDate("BBPS.SCADA03.00259661")</f>
        <v>04-02-2019</v>
      </c>
      <c r="D106" t="str">
        <f>[1]!DNAGetTime("BBPS.SCADA03.00259661")</f>
        <v>16:42:20</v>
      </c>
      <c r="E106" s="1">
        <v>43557.696064814816</v>
      </c>
      <c r="F106">
        <f>[1]!DNAGetValue("BBPS.SCADA03.00259661")</f>
        <v>0.51359999199999995</v>
      </c>
      <c r="G106" t="str">
        <f>[1]!DNAGetStatus("BBPS.SCADA03.00259661")</f>
        <v>SUSPECT</v>
      </c>
    </row>
    <row r="107" spans="1:7">
      <c r="A107" t="s">
        <v>286</v>
      </c>
      <c r="B107" t="s">
        <v>156</v>
      </c>
      <c r="C107" t="str">
        <f>[1]!DNAGetDate("BBPS.SCADA03.00259757")</f>
        <v>04-02-2019</v>
      </c>
      <c r="D107" t="str">
        <f>[1]!DNAGetTime("BBPS.SCADA03.00259757")</f>
        <v>16:49:25</v>
      </c>
      <c r="E107" s="1">
        <v>43557.700983796298</v>
      </c>
      <c r="F107">
        <f>[1]!DNAGetValue("BBPS.SCADA03.00259757")</f>
        <v>2.0789761499999999</v>
      </c>
      <c r="G107" t="str">
        <f>[1]!DNAGetStatus("BBPS.SCADA03.00259757")</f>
        <v>SUSPECT</v>
      </c>
    </row>
    <row r="108" spans="1:7">
      <c r="A108" t="s">
        <v>403</v>
      </c>
      <c r="B108" t="s">
        <v>401</v>
      </c>
      <c r="C108" t="str">
        <f>[1]!DNAGetDate("BBPS.SCADA04.00019081")</f>
        <v>05-02-2019</v>
      </c>
      <c r="D108" t="str">
        <f>[1]!DNAGetTime("BBPS.SCADA04.00019081")</f>
        <v>10:09:18</v>
      </c>
      <c r="E108" s="1">
        <v>43587.423125000001</v>
      </c>
      <c r="F108">
        <f>[1]!DNAGetValue("BBPS.SCADA04.00019081")</f>
        <v>14.0690002</v>
      </c>
      <c r="G108" t="str">
        <f>[1]!DNAGetStatus("BBPS.SCADA04.00019081")</f>
        <v>OK</v>
      </c>
    </row>
    <row r="109" spans="1:7">
      <c r="A109" t="s">
        <v>175</v>
      </c>
      <c r="B109" t="s">
        <v>214</v>
      </c>
      <c r="C109" t="str">
        <f>[1]!DNAGetDate("BBPS.SCADA03.00260539")</f>
        <v>05-02-2019</v>
      </c>
      <c r="D109" t="str">
        <f>[1]!DNAGetTime("BBPS.SCADA03.00260539")</f>
        <v>10:09:19</v>
      </c>
      <c r="E109" s="1">
        <v>43587.423136574071</v>
      </c>
      <c r="F109">
        <f>[1]!DNAGetValue("BBPS.SCADA03.00260539")</f>
        <v>1.0540000199999999</v>
      </c>
      <c r="G109" t="str">
        <f>[1]!DNAGetStatus("BBPS.SCADA03.00260539")</f>
        <v>OK</v>
      </c>
    </row>
    <row r="110" spans="1:7">
      <c r="A110" t="s">
        <v>176</v>
      </c>
      <c r="B110" t="s">
        <v>215</v>
      </c>
      <c r="C110" t="str">
        <f>[1]!DNAGetDate("BBPS.SCADA03.00260525")</f>
        <v>05-02-2019</v>
      </c>
      <c r="D110" t="str">
        <f>[1]!DNAGetTime("BBPS.SCADA03.00260525")</f>
        <v>10:09:19</v>
      </c>
      <c r="E110" s="1">
        <v>43587.423136574071</v>
      </c>
      <c r="F110">
        <f>[1]!DNAGetValue("BBPS.SCADA03.00260525")</f>
        <v>0.34889998999999999</v>
      </c>
      <c r="G110" t="str">
        <f>[1]!DNAGetStatus("BBPS.SCADA03.00260525")</f>
        <v>OK</v>
      </c>
    </row>
    <row r="111" spans="1:7">
      <c r="A111" t="s">
        <v>177</v>
      </c>
      <c r="B111" t="s">
        <v>216</v>
      </c>
      <c r="C111" t="str">
        <f>[1]!DNAGetDate("BBPS.SCADA03.00260565")</f>
        <v>05-02-2019</v>
      </c>
      <c r="D111" t="str">
        <f>[1]!DNAGetTime("BBPS.SCADA03.00260565")</f>
        <v>10:09:19</v>
      </c>
      <c r="E111" s="1">
        <v>43587.423136574071</v>
      </c>
      <c r="F111">
        <f>[1]!DNAGetValue("BBPS.SCADA03.00260565")</f>
        <v>6.3100002700000005E-2</v>
      </c>
      <c r="G111" t="str">
        <f>[1]!DNAGetStatus("BBPS.SCADA03.00260565")</f>
        <v>OK</v>
      </c>
    </row>
    <row r="112" spans="1:7">
      <c r="A112" t="s">
        <v>178</v>
      </c>
      <c r="B112" t="s">
        <v>217</v>
      </c>
      <c r="C112" t="str">
        <f>[1]!DNAGetDate("BBPS.SCADA03.00260562")</f>
        <v>05-02-2019</v>
      </c>
      <c r="D112" t="str">
        <f>[1]!DNAGetTime("BBPS.SCADA03.00260562")</f>
        <v>10:09:19</v>
      </c>
      <c r="E112" s="1">
        <v>43587.423136574071</v>
      </c>
      <c r="F112">
        <f>[1]!DNAGetValue("BBPS.SCADA03.00260562")</f>
        <v>0.14599999799999999</v>
      </c>
      <c r="G112" t="str">
        <f>[1]!DNAGetStatus("BBPS.SCADA03.00260562")</f>
        <v>OK</v>
      </c>
    </row>
    <row r="113" spans="1:7">
      <c r="A113" t="s">
        <v>179</v>
      </c>
      <c r="B113" t="s">
        <v>218</v>
      </c>
      <c r="C113" t="str">
        <f>[1]!DNAGetDate("BBPS.SCADA03.00260544")</f>
        <v>03-02-2019</v>
      </c>
      <c r="D113" t="str">
        <f>[1]!DNAGetTime("BBPS.SCADA03.00260544")</f>
        <v>11:52:05</v>
      </c>
      <c r="E113" s="1">
        <v>43526.494502314818</v>
      </c>
      <c r="F113">
        <f>[1]!DNAGetValue("BBPS.SCADA03.00260544")</f>
        <v>0.78509998299999995</v>
      </c>
      <c r="G113" t="str">
        <f>[1]!DNAGetStatus("BBPS.SCADA03.00260544")</f>
        <v>OK</v>
      </c>
    </row>
    <row r="114" spans="1:7">
      <c r="A114" t="s">
        <v>231</v>
      </c>
      <c r="B114" t="s">
        <v>219</v>
      </c>
      <c r="C114" t="str">
        <f>[1]!DNAGetDate("BBPS.SCADA04.00353636")</f>
        <v>05-02-2019</v>
      </c>
      <c r="D114" t="str">
        <f>[1]!DNAGetTime("BBPS.SCADA04.00353636")</f>
        <v>10:09:03</v>
      </c>
      <c r="E114" s="1">
        <v>43587.422951388886</v>
      </c>
      <c r="F114">
        <f>[1]!DNAGetValue("BBPS.SCADA04.00353636")</f>
        <v>0.58569997500000004</v>
      </c>
      <c r="G114" t="str">
        <f>[1]!DNAGetStatus("BBPS.SCADA04.00353636")</f>
        <v>OK</v>
      </c>
    </row>
    <row r="115" spans="1:7">
      <c r="A115" t="s">
        <v>232</v>
      </c>
      <c r="B115" t="s">
        <v>220</v>
      </c>
      <c r="C115" t="str">
        <f>[1]!DNAGetDate("BBPS.SCADA03.00260555")</f>
        <v>05-02-2019</v>
      </c>
      <c r="D115" t="str">
        <f>[1]!DNAGetTime("BBPS.SCADA03.00260555")</f>
        <v>10:08:48</v>
      </c>
      <c r="E115" s="1">
        <v>43587.422777777778</v>
      </c>
      <c r="F115">
        <f>[1]!DNAGetValue("BBPS.SCADA03.00260555")</f>
        <v>0.58099997000000003</v>
      </c>
      <c r="G115" t="str">
        <f>[1]!DNAGetStatus("BBPS.SCADA03.00260555")</f>
        <v>OK</v>
      </c>
    </row>
    <row r="116" spans="1:7">
      <c r="A116" t="s">
        <v>233</v>
      </c>
      <c r="B116" t="s">
        <v>221</v>
      </c>
      <c r="C116" t="str">
        <f>[1]!DNAGetDate("BBPS.SCADA03.00260574")</f>
        <v>05-02-2019</v>
      </c>
      <c r="D116" t="str">
        <f>[1]!DNAGetTime("BBPS.SCADA03.00260574")</f>
        <v>10:09:19</v>
      </c>
      <c r="E116" s="1">
        <v>43587.423136574071</v>
      </c>
      <c r="F116">
        <f>[1]!DNAGetValue("BBPS.SCADA03.00260574")</f>
        <v>0.564999998</v>
      </c>
      <c r="G116" t="str">
        <f>[1]!DNAGetStatus("BBPS.SCADA03.00260574")</f>
        <v>OK</v>
      </c>
    </row>
    <row r="117" spans="1:7">
      <c r="A117" t="s">
        <v>234</v>
      </c>
      <c r="B117" t="s">
        <v>222</v>
      </c>
      <c r="C117" t="str">
        <f>[1]!DNAGetDate("BBPS.SCADA03.00260532")</f>
        <v>05-02-2019</v>
      </c>
      <c r="D117" t="str">
        <f>[1]!DNAGetTime("BBPS.SCADA03.00260532")</f>
        <v>10:02:49</v>
      </c>
      <c r="E117" s="1">
        <v>43587.418622685182</v>
      </c>
      <c r="F117">
        <f>[1]!DNAGetValue("BBPS.SCADA03.00260532")</f>
        <v>1.1119999899999999</v>
      </c>
      <c r="G117" t="str">
        <f>[1]!DNAGetStatus("BBPS.SCADA03.00260532")</f>
        <v>OK</v>
      </c>
    </row>
    <row r="118" spans="1:7">
      <c r="A118" t="s">
        <v>380</v>
      </c>
      <c r="B118" t="s">
        <v>381</v>
      </c>
      <c r="C118" t="str">
        <f>[1]!DNAGetDate("BBPS.SCADA04.00426767")</f>
        <v>04-02-2019</v>
      </c>
      <c r="D118" t="str">
        <f>[1]!DNAGetTime("BBPS.SCADA04.00426767")</f>
        <v>08:48:47</v>
      </c>
      <c r="E118" s="1">
        <v>43557.367210648146</v>
      </c>
      <c r="F118">
        <f>[1]!DNAGetValue("BBPS.SCADA04.00426767")</f>
        <v>1.9999916600000001E-21</v>
      </c>
      <c r="G118" t="str">
        <f>[1]!DNAGetStatus("BBPS.SCADA04.00426767")</f>
        <v>OK</v>
      </c>
    </row>
    <row r="119" spans="1:7">
      <c r="A119" t="s">
        <v>280</v>
      </c>
      <c r="B119" t="s">
        <v>281</v>
      </c>
      <c r="C119" t="str">
        <f>[1]!DNAGetDate("BBPS.SCADA04.00426790")</f>
        <v>05-02-2019</v>
      </c>
      <c r="D119" t="str">
        <f>[1]!DNAGetTime("BBPS.SCADA04.00426790")</f>
        <v>10:08:29</v>
      </c>
      <c r="E119" s="1">
        <v>43587.42255787037</v>
      </c>
      <c r="F119">
        <f>[1]!DNAGetValue("BBPS.SCADA04.00426790")</f>
        <v>0.68399995599999996</v>
      </c>
      <c r="G119" t="str">
        <f>[1]!DNAGetStatus("BBPS.SCADA04.00426790")</f>
        <v>OK</v>
      </c>
    </row>
    <row r="120" spans="1:7">
      <c r="A120" t="s">
        <v>282</v>
      </c>
      <c r="B120" t="s">
        <v>283</v>
      </c>
      <c r="C120" t="str">
        <f>[1]!DNAGetDate("BBPS.SCADA04.00426885")</f>
        <v>05-02-2019</v>
      </c>
      <c r="D120" t="str">
        <f>[1]!DNAGetTime("BBPS.SCADA04.00426885")</f>
        <v>10:08:46</v>
      </c>
      <c r="E120" s="1">
        <v>43587.422754629632</v>
      </c>
      <c r="F120">
        <f>[1]!DNAGetValue("BBPS.SCADA04.00426885")</f>
        <v>0.14100000300000001</v>
      </c>
      <c r="G120" t="str">
        <f>[1]!DNAGetStatus("BBPS.SCADA04.00426885")</f>
        <v>OK</v>
      </c>
    </row>
    <row r="121" spans="1:7">
      <c r="A121" t="s">
        <v>382</v>
      </c>
      <c r="B121" t="s">
        <v>383</v>
      </c>
      <c r="C121" t="str">
        <f>[1]!DNAGetDate("BBPS.SCADA04.00426936")</f>
        <v>05-02-2019</v>
      </c>
      <c r="D121" t="str">
        <f>[1]!DNAGetTime("BBPS.SCADA04.00426936")</f>
        <v>10:09:26</v>
      </c>
      <c r="E121" s="1">
        <v>43587.423217592594</v>
      </c>
      <c r="F121">
        <f>[1]!DNAGetValue("BBPS.SCADA04.00426936")</f>
        <v>0.71728581199999997</v>
      </c>
      <c r="G121" t="str">
        <f>[1]!DNAGetStatus("BBPS.SCADA04.00426936")</f>
        <v>OK</v>
      </c>
    </row>
    <row r="122" spans="1:7">
      <c r="A122" t="s">
        <v>287</v>
      </c>
      <c r="B122" t="s">
        <v>288</v>
      </c>
      <c r="C122" t="str">
        <f>[1]!DNAGetDate("BBPS.SCADA03.00162259")</f>
        <v>01-02-2019</v>
      </c>
      <c r="D122" t="str">
        <f>[1]!DNAGetTime("BBPS.SCADA03.00162259")</f>
        <v>17:02:40</v>
      </c>
      <c r="E122" s="1">
        <v>43467.710185185184</v>
      </c>
      <c r="F122">
        <f>[1]!DNAGetValue("BBPS.SCADA03.00162259")</f>
        <v>0</v>
      </c>
      <c r="G122" t="str">
        <f>[1]!DNAGetStatus("BBPS.SCADA03.00162259")</f>
        <v>OK</v>
      </c>
    </row>
    <row r="123" spans="1:7">
      <c r="A123" t="s">
        <v>289</v>
      </c>
      <c r="B123" t="s">
        <v>290</v>
      </c>
      <c r="C123" t="str">
        <f>[1]!DNAGetDate("BBPS.SCADA03.00162270")</f>
        <v>01-02-2019</v>
      </c>
      <c r="D123" t="str">
        <f>[1]!DNAGetTime("BBPS.SCADA03.00162270")</f>
        <v>17:02:40</v>
      </c>
      <c r="E123" s="1">
        <v>43467.710185185184</v>
      </c>
      <c r="F123">
        <f>[1]!DNAGetValue("BBPS.SCADA03.00162270")</f>
        <v>0</v>
      </c>
      <c r="G123" t="str">
        <f>[1]!DNAGetStatus("BBPS.SCADA03.00162270")</f>
        <v>OK</v>
      </c>
    </row>
    <row r="124" spans="1:7">
      <c r="A124" t="s">
        <v>375</v>
      </c>
      <c r="B124" t="s">
        <v>192</v>
      </c>
      <c r="C124" t="str">
        <f>[1]!DNAGetDate("BBPS.SCADA03.00255899")</f>
        <v>01-02-2019</v>
      </c>
      <c r="D124" t="str">
        <f>[1]!DNAGetTime("BBPS.SCADA03.00255899")</f>
        <v>17:02:40</v>
      </c>
      <c r="E124" s="1">
        <v>43467.710185185184</v>
      </c>
      <c r="F124">
        <f>[1]!DNAGetValue("BBPS.SCADA03.00255899")</f>
        <v>0</v>
      </c>
      <c r="G124" t="str">
        <f>[1]!DNAGetStatus("BBPS.SCADA03.00255899")</f>
        <v>OK</v>
      </c>
    </row>
    <row r="125" spans="1:7">
      <c r="A125" t="s">
        <v>180</v>
      </c>
      <c r="B125" t="s">
        <v>189</v>
      </c>
      <c r="C125" t="str">
        <f>[1]!DNAGetDate("BBPS.SCADA03.00162288")</f>
        <v>05-02-2019</v>
      </c>
      <c r="D125" t="str">
        <f>[1]!DNAGetTime("BBPS.SCADA03.00162288")</f>
        <v>10:09:21</v>
      </c>
      <c r="E125" s="1">
        <v>43587.423159722224</v>
      </c>
      <c r="F125">
        <f>[1]!DNAGetValue("BBPS.SCADA03.00162288")</f>
        <v>6.5029997799999997</v>
      </c>
      <c r="G125" t="str">
        <f>[1]!DNAGetStatus("BBPS.SCADA03.00162288")</f>
        <v>OK</v>
      </c>
    </row>
    <row r="126" spans="1:7">
      <c r="A126" t="s">
        <v>181</v>
      </c>
      <c r="B126" t="s">
        <v>190</v>
      </c>
      <c r="C126" t="str">
        <f>[1]!DNAGetDate("BBPS.SCADA03.00162872")</f>
        <v>05-02-2019</v>
      </c>
      <c r="D126" t="str">
        <f>[1]!DNAGetTime("BBPS.SCADA03.00162872")</f>
        <v>10:09:27</v>
      </c>
      <c r="E126" s="1">
        <v>43587.423229166663</v>
      </c>
      <c r="F126">
        <f>[1]!DNAGetValue("BBPS.SCADA03.00162872")</f>
        <v>3.11299992</v>
      </c>
      <c r="G126" t="str">
        <f>[1]!DNAGetStatus("BBPS.SCADA03.00162872")</f>
        <v>OK</v>
      </c>
    </row>
    <row r="127" spans="1:7">
      <c r="A127" t="s">
        <v>182</v>
      </c>
      <c r="B127" t="s">
        <v>191</v>
      </c>
      <c r="C127" t="str">
        <f>[1]!DNAGetDate("BBPS.SCADA03.00162899")</f>
        <v>05-02-2019</v>
      </c>
      <c r="D127" t="str">
        <f>[1]!DNAGetTime("BBPS.SCADA03.00162899")</f>
        <v>10:09:15</v>
      </c>
      <c r="E127" s="1">
        <v>43587.423090277778</v>
      </c>
      <c r="F127">
        <f>[1]!DNAGetValue("BBPS.SCADA03.00162899")</f>
        <v>1.171</v>
      </c>
      <c r="G127" t="str">
        <f>[1]!DNAGetStatus("BBPS.SCADA03.00162899")</f>
        <v>OK</v>
      </c>
    </row>
    <row r="128" spans="1:7">
      <c r="A128" t="s">
        <v>514</v>
      </c>
      <c r="B128" t="s">
        <v>515</v>
      </c>
      <c r="C128" t="str">
        <f>[1]!DNAGetDate("BBPS.SCADA04.00017293")</f>
        <v>05-02-2019</v>
      </c>
      <c r="D128" t="str">
        <f>[1]!DNAGetTime("BBPS.SCADA04.00017293")</f>
        <v>02:05:00</v>
      </c>
      <c r="E128" s="1">
        <v>43587.086805555555</v>
      </c>
      <c r="F128">
        <f>[1]!DNAGetValue("BBPS.SCADA04.00017293")</f>
        <v>-6.0000000499999999E-3</v>
      </c>
      <c r="G128" t="str">
        <f>[1]!DNAGetStatus("BBPS.SCADA04.00017293")</f>
        <v>SUSPECT</v>
      </c>
    </row>
    <row r="129" spans="1:7">
      <c r="A129" t="s">
        <v>291</v>
      </c>
      <c r="B129" t="s">
        <v>402</v>
      </c>
      <c r="C129" t="str">
        <f>[1]!DNAGetDate("BBPS.SCADA03.00255900")</f>
        <v>05-02-2019</v>
      </c>
      <c r="D129" t="str">
        <f>[1]!DNAGetTime("BBPS.SCADA03.00255900")</f>
        <v>10:09:27</v>
      </c>
      <c r="E129" s="1">
        <v>43587.423229166663</v>
      </c>
      <c r="F129">
        <f>[1]!DNAGetValue("BBPS.SCADA03.00255900")</f>
        <v>10.7810001</v>
      </c>
      <c r="G129" t="str">
        <f>[1]!DNAGetStatus("BBPS.SCADA03.00255900")</f>
        <v>SUSPECT</v>
      </c>
    </row>
    <row r="130" spans="1:7">
      <c r="A130" t="s">
        <v>304</v>
      </c>
      <c r="B130" t="s">
        <v>292</v>
      </c>
      <c r="C130" t="str">
        <f>[1]!DNAGetDate("BBPS.SCADA03.00255996")</f>
        <v>01-02-2019</v>
      </c>
      <c r="D130" t="str">
        <f>[1]!DNAGetTime("BBPS.SCADA03.00255996")</f>
        <v>17:02:39</v>
      </c>
      <c r="E130" s="1">
        <v>43467.710173611114</v>
      </c>
      <c r="F130">
        <f>[1]!DNAGetValue("BBPS.SCADA03.00255996")</f>
        <v>5.0058054900000002</v>
      </c>
      <c r="G130" t="str">
        <f>[1]!DNAGetStatus("BBPS.SCADA03.00255996")</f>
        <v>SUSPECT</v>
      </c>
    </row>
    <row r="131" spans="1:7">
      <c r="A131" t="s">
        <v>305</v>
      </c>
      <c r="B131" t="s">
        <v>293</v>
      </c>
      <c r="C131" t="str">
        <f>[1]!DNAGetDate("BBPS.SCADA03.00255991")</f>
        <v>01-02-2019</v>
      </c>
      <c r="D131" t="str">
        <f>[1]!DNAGetTime("BBPS.SCADA03.00255991")</f>
        <v>17:02:39</v>
      </c>
      <c r="E131" s="1">
        <v>43467.710173611114</v>
      </c>
      <c r="F131">
        <f>[1]!DNAGetValue("BBPS.SCADA03.00255991")</f>
        <v>5.0739779499999997</v>
      </c>
      <c r="G131" t="str">
        <f>[1]!DNAGetStatus("BBPS.SCADA03.00255991")</f>
        <v>SUSPECT</v>
      </c>
    </row>
    <row r="132" spans="1:7">
      <c r="A132" t="s">
        <v>306</v>
      </c>
      <c r="B132" t="s">
        <v>294</v>
      </c>
      <c r="C132" t="str">
        <f>[1]!DNAGetDate("BBPS.SCADA03.00255988")</f>
        <v>01-02-2019</v>
      </c>
      <c r="D132" t="str">
        <f>[1]!DNAGetTime("BBPS.SCADA03.00255988")</f>
        <v>17:02:39</v>
      </c>
      <c r="E132" s="1">
        <v>43467.710173611114</v>
      </c>
      <c r="F132">
        <f>[1]!DNAGetValue("BBPS.SCADA03.00255988")</f>
        <v>4.9058866500000002</v>
      </c>
      <c r="G132" t="str">
        <f>[1]!DNAGetStatus("BBPS.SCADA03.00255988")</f>
        <v>SUSPECT</v>
      </c>
    </row>
    <row r="133" spans="1:7">
      <c r="A133" t="s">
        <v>307</v>
      </c>
      <c r="B133" t="s">
        <v>295</v>
      </c>
      <c r="C133" t="str">
        <f>[1]!DNAGetDate("BBPS.SCADA03.00255985")</f>
        <v>01-02-2019</v>
      </c>
      <c r="D133" t="str">
        <f>[1]!DNAGetTime("BBPS.SCADA03.00255985")</f>
        <v>17:02:39</v>
      </c>
      <c r="E133" s="1">
        <v>43467.710173611114</v>
      </c>
      <c r="F133">
        <f>[1]!DNAGetValue("BBPS.SCADA03.00255985")</f>
        <v>4.9089393599999998</v>
      </c>
      <c r="G133" t="str">
        <f>[1]!DNAGetStatus("BBPS.SCADA03.00255985")</f>
        <v>SUSPECT</v>
      </c>
    </row>
    <row r="134" spans="1:7">
      <c r="A134" t="s">
        <v>376</v>
      </c>
      <c r="B134" t="s">
        <v>186</v>
      </c>
      <c r="C134" t="str">
        <f>[1]!DNAGetDate("BBPS.SCADA03.00256471")</f>
        <v>01-02-2019</v>
      </c>
      <c r="D134" t="str">
        <f>[1]!DNAGetTime("BBPS.SCADA03.00256471")</f>
        <v>17:02:39</v>
      </c>
      <c r="E134" s="1">
        <v>43467.710173611114</v>
      </c>
      <c r="F134">
        <f>[1]!DNAGetValue("BBPS.SCADA03.00256471")</f>
        <v>20.726926800000001</v>
      </c>
      <c r="G134" t="str">
        <f>[1]!DNAGetStatus("BBPS.SCADA03.00256471")</f>
        <v>SUSPECT</v>
      </c>
    </row>
    <row r="135" spans="1:7">
      <c r="A135" t="s">
        <v>300</v>
      </c>
      <c r="B135" t="s">
        <v>296</v>
      </c>
      <c r="C135" t="str">
        <f>[1]!DNAGetDate("BBPS.SCADA03.00255944")</f>
        <v>01-02-2019</v>
      </c>
      <c r="D135" t="str">
        <f>[1]!DNAGetTime("BBPS.SCADA03.00255944")</f>
        <v>17:02:39</v>
      </c>
      <c r="E135" s="1">
        <v>43467.710173611114</v>
      </c>
      <c r="F135">
        <f>[1]!DNAGetValue("BBPS.SCADA03.00255944")</f>
        <v>5.1779665899999996</v>
      </c>
      <c r="G135" t="str">
        <f>[1]!DNAGetStatus("BBPS.SCADA03.00255944")</f>
        <v>SUSPECT</v>
      </c>
    </row>
    <row r="136" spans="1:7">
      <c r="A136" t="s">
        <v>301</v>
      </c>
      <c r="B136" t="s">
        <v>297</v>
      </c>
      <c r="C136" t="str">
        <f>[1]!DNAGetDate("BBPS.SCADA03.00255949")</f>
        <v>01-02-2019</v>
      </c>
      <c r="D136" t="str">
        <f>[1]!DNAGetTime("BBPS.SCADA03.00255949")</f>
        <v>17:02:39</v>
      </c>
      <c r="E136" s="1">
        <v>43467.710173611114</v>
      </c>
      <c r="F136">
        <f>[1]!DNAGetValue("BBPS.SCADA03.00255949")</f>
        <v>5.2359647799999998</v>
      </c>
      <c r="G136" t="str">
        <f>[1]!DNAGetStatus("BBPS.SCADA03.00255949")</f>
        <v>SUSPECT</v>
      </c>
    </row>
    <row r="137" spans="1:7">
      <c r="A137" t="s">
        <v>302</v>
      </c>
      <c r="B137" t="s">
        <v>298</v>
      </c>
      <c r="C137" t="str">
        <f>[1]!DNAGetDate("BBPS.SCADA03.00255953")</f>
        <v>01-02-2019</v>
      </c>
      <c r="D137" t="str">
        <f>[1]!DNAGetTime("BBPS.SCADA03.00255953")</f>
        <v>17:02:39</v>
      </c>
      <c r="E137" s="1">
        <v>43467.710173611114</v>
      </c>
      <c r="F137">
        <f>[1]!DNAGetValue("BBPS.SCADA03.00255953")</f>
        <v>5.1679954500000003</v>
      </c>
      <c r="G137" t="str">
        <f>[1]!DNAGetStatus("BBPS.SCADA03.00255953")</f>
        <v>SUSPECT</v>
      </c>
    </row>
    <row r="138" spans="1:7">
      <c r="A138" t="s">
        <v>303</v>
      </c>
      <c r="B138" t="s">
        <v>299</v>
      </c>
      <c r="C138" t="str">
        <f>[1]!DNAGetDate("BBPS.SCADA03.00255957")</f>
        <v>01-02-2019</v>
      </c>
      <c r="D138" t="str">
        <f>[1]!DNAGetTime("BBPS.SCADA03.00255957")</f>
        <v>17:02:39</v>
      </c>
      <c r="E138" s="1">
        <v>43467.710173611114</v>
      </c>
      <c r="F138">
        <f>[1]!DNAGetValue("BBPS.SCADA03.00255957")</f>
        <v>5.1449999799999997</v>
      </c>
      <c r="G138" t="str">
        <f>[1]!DNAGetStatus("BBPS.SCADA03.00255957")</f>
        <v>SUSPECT</v>
      </c>
    </row>
    <row r="139" spans="1:7">
      <c r="A139" t="s">
        <v>377</v>
      </c>
      <c r="B139" t="s">
        <v>185</v>
      </c>
      <c r="C139" t="str">
        <f>[1]!DNAGetDate("BBPS.SCADA03.00256470")</f>
        <v>01-02-2019</v>
      </c>
      <c r="D139" t="str">
        <f>[1]!DNAGetTime("BBPS.SCADA03.00256470")</f>
        <v>17:02:39</v>
      </c>
      <c r="E139" s="1">
        <v>43467.710173611114</v>
      </c>
      <c r="F139">
        <f>[1]!DNAGetValue("BBPS.SCADA03.00256470")</f>
        <v>19.894609500000001</v>
      </c>
      <c r="G139" t="str">
        <f>[1]!DNAGetStatus("BBPS.SCADA03.00256470")</f>
        <v>SUSPECT</v>
      </c>
    </row>
    <row r="140" spans="1:7">
      <c r="A140" t="s">
        <v>308</v>
      </c>
      <c r="B140" t="s">
        <v>309</v>
      </c>
      <c r="C140" t="str">
        <f>[1]!DNAGetDate("BBPS.SCADA03.00259153")</f>
        <v>05-02-2019</v>
      </c>
      <c r="D140" t="str">
        <f>[1]!DNAGetTime("BBPS.SCADA03.00259153")</f>
        <v>10:09:28</v>
      </c>
      <c r="E140" s="1">
        <v>43587.42324074074</v>
      </c>
      <c r="F140">
        <f>[1]!DNAGetValue("BBPS.SCADA03.00259153")</f>
        <v>3.80769753</v>
      </c>
      <c r="G140" t="str">
        <f>[1]!DNAGetStatus("BBPS.SCADA03.00259153")</f>
        <v>OK</v>
      </c>
    </row>
    <row r="141" spans="1:7">
      <c r="A141" t="s">
        <v>310</v>
      </c>
      <c r="B141" t="s">
        <v>311</v>
      </c>
      <c r="C141" t="str">
        <f>[1]!DNAGetDate("BBPS.SCADA03.00259156")</f>
        <v>05-02-2019</v>
      </c>
      <c r="D141" t="str">
        <f>[1]!DNAGetTime("BBPS.SCADA03.00259156")</f>
        <v>10:09:28</v>
      </c>
      <c r="E141" s="1">
        <v>43587.42324074074</v>
      </c>
      <c r="F141">
        <f>[1]!DNAGetValue("BBPS.SCADA03.00259156")</f>
        <v>2.83570623</v>
      </c>
      <c r="G141" t="str">
        <f>[1]!DNAGetStatus("BBPS.SCADA03.00259156")</f>
        <v>OK</v>
      </c>
    </row>
    <row r="142" spans="1:7">
      <c r="A142" t="s">
        <v>378</v>
      </c>
      <c r="B142" t="s">
        <v>187</v>
      </c>
      <c r="C142" t="str">
        <f>[1]!DNAGetDate("BBPS.SCADA03.00259170")</f>
        <v>05-02-2019</v>
      </c>
      <c r="D142" t="str">
        <f>[1]!DNAGetTime("BBPS.SCADA03.00259170")</f>
        <v>10:09:28</v>
      </c>
      <c r="E142" s="1">
        <v>43587.42324074074</v>
      </c>
      <c r="F142">
        <f>[1]!DNAGetValue("BBPS.SCADA03.00259170")</f>
        <v>6.6434040100000002</v>
      </c>
      <c r="G142" t="str">
        <f>[1]!DNAGetStatus("BBPS.SCADA03.00259170")</f>
        <v>OK</v>
      </c>
    </row>
    <row r="143" spans="1:7">
      <c r="A143" t="s">
        <v>312</v>
      </c>
      <c r="B143" t="s">
        <v>313</v>
      </c>
      <c r="C143" t="str">
        <f>[1]!DNAGetDate("BBPS.SCADA03.00259424")</f>
        <v>05-02-2019</v>
      </c>
      <c r="D143" t="str">
        <f>[1]!DNAGetTime("BBPS.SCADA03.00259424")</f>
        <v>10:09:28</v>
      </c>
      <c r="E143" s="1">
        <v>43587.42324074074</v>
      </c>
      <c r="F143">
        <f>[1]!DNAGetValue("BBPS.SCADA03.00259424")</f>
        <v>3.7557311100000002</v>
      </c>
      <c r="G143" t="str">
        <f>[1]!DNAGetStatus("BBPS.SCADA03.00259424")</f>
        <v>OK</v>
      </c>
    </row>
    <row r="144" spans="1:7">
      <c r="A144" t="s">
        <v>314</v>
      </c>
      <c r="B144" t="s">
        <v>315</v>
      </c>
      <c r="C144" t="str">
        <f>[1]!DNAGetDate("BBPS.SCADA03.00259427")</f>
        <v>05-02-2019</v>
      </c>
      <c r="D144" t="str">
        <f>[1]!DNAGetTime("BBPS.SCADA03.00259427")</f>
        <v>10:09:28</v>
      </c>
      <c r="E144" s="1">
        <v>43587.42324074074</v>
      </c>
      <c r="F144">
        <f>[1]!DNAGetValue("BBPS.SCADA03.00259427")</f>
        <v>1.9407842200000001</v>
      </c>
      <c r="G144" t="str">
        <f>[1]!DNAGetStatus("BBPS.SCADA03.00259427")</f>
        <v>OK</v>
      </c>
    </row>
    <row r="145" spans="1:7">
      <c r="A145" t="s">
        <v>379</v>
      </c>
      <c r="B145" t="s">
        <v>188</v>
      </c>
      <c r="C145" t="str">
        <f>[1]!DNAGetDate("BBPS.SCADA03.00259437")</f>
        <v>05-02-2019</v>
      </c>
      <c r="D145" t="str">
        <f>[1]!DNAGetTime("BBPS.SCADA03.00259437")</f>
        <v>10:09:28</v>
      </c>
      <c r="E145" s="1">
        <v>43587.42324074074</v>
      </c>
      <c r="F145">
        <f>[1]!DNAGetValue("BBPS.SCADA03.00259437")</f>
        <v>5.6965150800000002</v>
      </c>
      <c r="G145" t="str">
        <f>[1]!DNAGetStatus("BBPS.SCADA03.00259437")</f>
        <v>OK</v>
      </c>
    </row>
    <row r="146" spans="1:7">
      <c r="A146" t="s">
        <v>236</v>
      </c>
      <c r="B146" t="s">
        <v>226</v>
      </c>
      <c r="C146" t="str">
        <f>[1]!DNAGetDate("BBPS.SCADA04.00353598")</f>
        <v>05-02-2019</v>
      </c>
      <c r="D146" t="str">
        <f>[1]!DNAGetTime("BBPS.SCADA04.00353598")</f>
        <v>10:08:33</v>
      </c>
      <c r="E146" s="1">
        <v>43587.42260416667</v>
      </c>
      <c r="F146">
        <f>[1]!DNAGetValue("BBPS.SCADA04.00353598")</f>
        <v>0.50660002199999998</v>
      </c>
      <c r="G146" t="str">
        <f>[1]!DNAGetStatus("BBPS.SCADA04.00353598")</f>
        <v>OK</v>
      </c>
    </row>
    <row r="147" spans="1:7">
      <c r="A147" t="s">
        <v>316</v>
      </c>
      <c r="B147" t="s">
        <v>384</v>
      </c>
      <c r="C147" t="str">
        <f>[1]!DNAGetDate("BBPS.SCADA04.00438038")</f>
        <v>05-02-2019</v>
      </c>
      <c r="D147" t="str">
        <f>[1]!DNAGetTime("BBPS.SCADA04.00438038")</f>
        <v>07:53:05</v>
      </c>
      <c r="E147" s="1">
        <v>43587.328530092593</v>
      </c>
      <c r="F147">
        <f>[1]!DNAGetValue("BBPS.SCADA04.00438038")</f>
        <v>0</v>
      </c>
      <c r="G147" t="str">
        <f>[1]!DNAGetStatus("BBPS.SCADA04.00438038")</f>
        <v>OK</v>
      </c>
    </row>
    <row r="148" spans="1:7">
      <c r="A148" t="s">
        <v>317</v>
      </c>
      <c r="B148" t="s">
        <v>318</v>
      </c>
      <c r="C148" t="str">
        <f>[1]!DNAGetDate("BBPS.SCADA03.00259173")</f>
        <v>05-02-2019</v>
      </c>
      <c r="D148" t="str">
        <f>[1]!DNAGetTime("BBPS.SCADA03.00259173")</f>
        <v>10:08:52</v>
      </c>
      <c r="E148" s="1">
        <v>43587.422824074078</v>
      </c>
      <c r="F148">
        <f>[1]!DNAGetValue("BBPS.SCADA03.00259173")</f>
        <v>2.7699999800000001</v>
      </c>
      <c r="G148" t="str">
        <f>[1]!DNAGetStatus("BBPS.SCADA03.00259173")</f>
        <v>OK</v>
      </c>
    </row>
    <row r="149" spans="1:7">
      <c r="A149" t="s">
        <v>319</v>
      </c>
      <c r="B149" t="s">
        <v>320</v>
      </c>
      <c r="C149" t="str">
        <f>[1]!DNAGetDate("BBPS.SCADA03.00259183")</f>
        <v>05-02-2019</v>
      </c>
      <c r="D149" t="str">
        <f>[1]!DNAGetTime("BBPS.SCADA03.00259183")</f>
        <v>10:07:51</v>
      </c>
      <c r="E149" s="1">
        <v>43587.422118055554</v>
      </c>
      <c r="F149">
        <f>[1]!DNAGetValue("BBPS.SCADA03.00259183")</f>
        <v>2.7599999899999998</v>
      </c>
      <c r="G149" t="str">
        <f>[1]!DNAGetStatus("BBPS.SCADA03.00259183")</f>
        <v>OK</v>
      </c>
    </row>
    <row r="150" spans="1:7">
      <c r="A150" t="s">
        <v>321</v>
      </c>
      <c r="B150" t="s">
        <v>322</v>
      </c>
      <c r="C150" t="str">
        <f>[1]!DNAGetDate("BBPS.SCADA03.00259186")</f>
        <v>05-02-2019</v>
      </c>
      <c r="D150" t="str">
        <f>[1]!DNAGetTime("BBPS.SCADA03.00259186")</f>
        <v>10:08:52</v>
      </c>
      <c r="E150" s="1">
        <v>43587.422824074078</v>
      </c>
      <c r="F150">
        <f>[1]!DNAGetValue("BBPS.SCADA03.00259186")</f>
        <v>2.77999997</v>
      </c>
      <c r="G150" t="str">
        <f>[1]!DNAGetStatus("BBPS.SCADA03.00259186")</f>
        <v>OK</v>
      </c>
    </row>
    <row r="151" spans="1:7">
      <c r="A151" t="s">
        <v>407</v>
      </c>
      <c r="B151" t="s">
        <v>197</v>
      </c>
      <c r="C151" t="str">
        <f>[1]!DNAGetDate("BBPS.SCADA03.00259625")</f>
        <v>05-02-2019</v>
      </c>
      <c r="D151" t="str">
        <f>[1]!DNAGetTime("BBPS.SCADA03.00259625")</f>
        <v>10:08:52</v>
      </c>
      <c r="E151" s="1">
        <v>43587.422824074078</v>
      </c>
      <c r="F151">
        <f>[1]!DNAGetValue("BBPS.SCADA03.00259625")</f>
        <v>8.3099994699999993</v>
      </c>
      <c r="G151" t="str">
        <f>[1]!DNAGetStatus("BBPS.SCADA03.00259625")</f>
        <v>OK</v>
      </c>
    </row>
    <row r="152" spans="1:7">
      <c r="A152" t="s">
        <v>323</v>
      </c>
      <c r="B152" t="s">
        <v>324</v>
      </c>
      <c r="C152" t="str">
        <f>[1]!DNAGetDate("BBPS.SCADA03.00259221")</f>
        <v>05-02-2019</v>
      </c>
      <c r="D152" t="str">
        <f>[1]!DNAGetTime("BBPS.SCADA03.00259221")</f>
        <v>10:08:52</v>
      </c>
      <c r="E152" s="1">
        <v>43587.422824074078</v>
      </c>
      <c r="F152">
        <f>[1]!DNAGetValue("BBPS.SCADA03.00259221")</f>
        <v>2.3599999</v>
      </c>
      <c r="G152" t="str">
        <f>[1]!DNAGetStatus("BBPS.SCADA03.00259221")</f>
        <v>OK</v>
      </c>
    </row>
    <row r="153" spans="1:7">
      <c r="A153" t="s">
        <v>325</v>
      </c>
      <c r="B153" t="s">
        <v>326</v>
      </c>
      <c r="C153" t="str">
        <f>[1]!DNAGetDate("BBPS.SCADA03.00259216")</f>
        <v>05-02-2019</v>
      </c>
      <c r="D153" t="str">
        <f>[1]!DNAGetTime("BBPS.SCADA03.00259216")</f>
        <v>10:09:24</v>
      </c>
      <c r="E153" s="1">
        <v>43587.423194444447</v>
      </c>
      <c r="F153">
        <f>[1]!DNAGetValue("BBPS.SCADA03.00259216")</f>
        <v>2.33999991</v>
      </c>
      <c r="G153" t="str">
        <f>[1]!DNAGetStatus("BBPS.SCADA03.00259216")</f>
        <v>OK</v>
      </c>
    </row>
    <row r="154" spans="1:7">
      <c r="A154" t="s">
        <v>327</v>
      </c>
      <c r="B154" t="s">
        <v>328</v>
      </c>
      <c r="C154" t="str">
        <f>[1]!DNAGetDate("BBPS.SCADA03.00259213")</f>
        <v>05-02-2019</v>
      </c>
      <c r="D154" t="str">
        <f>[1]!DNAGetTime("BBPS.SCADA03.00259213")</f>
        <v>10:08:52</v>
      </c>
      <c r="E154" s="1">
        <v>43587.422824074078</v>
      </c>
      <c r="F154">
        <f>[1]!DNAGetValue("BBPS.SCADA03.00259213")</f>
        <v>2.27999997</v>
      </c>
      <c r="G154" t="str">
        <f>[1]!DNAGetStatus("BBPS.SCADA03.00259213")</f>
        <v>OK</v>
      </c>
    </row>
    <row r="155" spans="1:7">
      <c r="A155" t="s">
        <v>329</v>
      </c>
      <c r="B155" t="s">
        <v>330</v>
      </c>
      <c r="C155" t="str">
        <f>[1]!DNAGetDate("BBPS.SCADA03.00259232")</f>
        <v>05-02-2019</v>
      </c>
      <c r="D155" t="str">
        <f>[1]!DNAGetTime("BBPS.SCADA03.00259232")</f>
        <v>10:08:52</v>
      </c>
      <c r="E155" s="1">
        <v>43587.422824074078</v>
      </c>
      <c r="F155">
        <f>[1]!DNAGetValue("BBPS.SCADA03.00259232")</f>
        <v>2.4699997900000001</v>
      </c>
      <c r="G155" t="str">
        <f>[1]!DNAGetStatus("BBPS.SCADA03.00259232")</f>
        <v>OK</v>
      </c>
    </row>
    <row r="156" spans="1:7">
      <c r="A156" t="s">
        <v>331</v>
      </c>
      <c r="B156" t="s">
        <v>332</v>
      </c>
      <c r="C156" t="str">
        <f>[1]!DNAGetDate("BBPS.SCADA03.00259236")</f>
        <v>05-02-2019</v>
      </c>
      <c r="D156" t="str">
        <f>[1]!DNAGetTime("BBPS.SCADA03.00259236")</f>
        <v>10:08:52</v>
      </c>
      <c r="E156" s="1">
        <v>43587.422824074078</v>
      </c>
      <c r="F156">
        <f>[1]!DNAGetValue("BBPS.SCADA03.00259236")</f>
        <v>1.9099999700000001</v>
      </c>
      <c r="G156" t="str">
        <f>[1]!DNAGetStatus("BBPS.SCADA03.00259236")</f>
        <v>OK</v>
      </c>
    </row>
    <row r="157" spans="1:7">
      <c r="A157" t="s">
        <v>408</v>
      </c>
      <c r="B157" t="s">
        <v>195</v>
      </c>
      <c r="C157" t="str">
        <f>[1]!DNAGetDate("BBPS.SCADA03.00259622")</f>
        <v>05-02-2019</v>
      </c>
      <c r="D157" t="str">
        <f>[1]!DNAGetTime("BBPS.SCADA03.00259622")</f>
        <v>10:09:24</v>
      </c>
      <c r="E157" s="1">
        <v>43587.423194444447</v>
      </c>
      <c r="F157">
        <f>[1]!DNAGetValue("BBPS.SCADA03.00259622")</f>
        <v>11.359999699999999</v>
      </c>
      <c r="G157" t="str">
        <f>[1]!DNAGetStatus("BBPS.SCADA03.00259622")</f>
        <v>OK</v>
      </c>
    </row>
    <row r="158" spans="1:7">
      <c r="A158" t="s">
        <v>333</v>
      </c>
      <c r="B158" t="s">
        <v>334</v>
      </c>
      <c r="C158" t="str">
        <f>[1]!DNAGetDate("BBPS.SCADA03.00259247")</f>
        <v>05-02-2019</v>
      </c>
      <c r="D158" t="str">
        <f>[1]!DNAGetTime("BBPS.SCADA03.00259247")</f>
        <v>10:08:52</v>
      </c>
      <c r="E158" s="1">
        <v>43587.422824074078</v>
      </c>
      <c r="F158">
        <f>[1]!DNAGetValue("BBPS.SCADA03.00259247")</f>
        <v>2.6099999</v>
      </c>
      <c r="G158" t="str">
        <f>[1]!DNAGetStatus("BBPS.SCADA03.00259247")</f>
        <v>OK</v>
      </c>
    </row>
    <row r="159" spans="1:7">
      <c r="A159" t="s">
        <v>335</v>
      </c>
      <c r="B159" t="s">
        <v>336</v>
      </c>
      <c r="C159" t="str">
        <f>[1]!DNAGetDate("BBPS.SCADA03.00259252")</f>
        <v>05-02-2019</v>
      </c>
      <c r="D159" t="str">
        <f>[1]!DNAGetTime("BBPS.SCADA03.00259252")</f>
        <v>10:08:31</v>
      </c>
      <c r="E159" s="1">
        <v>43587.422581018516</v>
      </c>
      <c r="F159">
        <f>[1]!DNAGetValue("BBPS.SCADA03.00259252")</f>
        <v>2.5399999599999998</v>
      </c>
      <c r="G159" t="str">
        <f>[1]!DNAGetStatus("BBPS.SCADA03.00259252")</f>
        <v>OK</v>
      </c>
    </row>
    <row r="160" spans="1:7">
      <c r="A160" t="s">
        <v>337</v>
      </c>
      <c r="B160" t="s">
        <v>338</v>
      </c>
      <c r="C160" t="str">
        <f>[1]!DNAGetDate("BBPS.SCADA03.00259255")</f>
        <v>05-02-2019</v>
      </c>
      <c r="D160" t="str">
        <f>[1]!DNAGetTime("BBPS.SCADA03.00259255")</f>
        <v>10:08:52</v>
      </c>
      <c r="E160" s="1">
        <v>43587.422824074078</v>
      </c>
      <c r="F160">
        <f>[1]!DNAGetValue("BBPS.SCADA03.00259255")</f>
        <v>2.4299998299999999</v>
      </c>
      <c r="G160" t="str">
        <f>[1]!DNAGetStatus("BBPS.SCADA03.00259255")</f>
        <v>OK</v>
      </c>
    </row>
    <row r="161" spans="1:7">
      <c r="A161" t="s">
        <v>339</v>
      </c>
      <c r="B161" t="s">
        <v>340</v>
      </c>
      <c r="C161" t="str">
        <f>[1]!DNAGetDate("BBPS.SCADA03.00259242")</f>
        <v>05-02-2019</v>
      </c>
      <c r="D161" t="str">
        <f>[1]!DNAGetTime("BBPS.SCADA03.00259242")</f>
        <v>10:08:52</v>
      </c>
      <c r="E161" s="1">
        <v>43587.422824074078</v>
      </c>
      <c r="F161">
        <f>[1]!DNAGetValue("BBPS.SCADA03.00259242")</f>
        <v>2.41999984</v>
      </c>
      <c r="G161" t="str">
        <f>[1]!DNAGetStatus("BBPS.SCADA03.00259242")</f>
        <v>OK</v>
      </c>
    </row>
    <row r="162" spans="1:7">
      <c r="A162" t="s">
        <v>341</v>
      </c>
      <c r="B162" t="s">
        <v>342</v>
      </c>
      <c r="C162" t="str">
        <f>[1]!DNAGetDate("BBPS.SCADA03.00259239")</f>
        <v>05-02-2019</v>
      </c>
      <c r="D162" t="str">
        <f>[1]!DNAGetTime("BBPS.SCADA03.00259239")</f>
        <v>10:09:22</v>
      </c>
      <c r="E162" s="1">
        <v>43587.423171296294</v>
      </c>
      <c r="F162">
        <f>[1]!DNAGetValue("BBPS.SCADA03.00259239")</f>
        <v>2.08999991</v>
      </c>
      <c r="G162" t="str">
        <f>[1]!DNAGetStatus("BBPS.SCADA03.00259239")</f>
        <v>OK</v>
      </c>
    </row>
    <row r="163" spans="1:7">
      <c r="A163" t="s">
        <v>409</v>
      </c>
      <c r="B163" t="s">
        <v>194</v>
      </c>
      <c r="C163" t="str">
        <f>[1]!DNAGetDate("BBPS.SCADA03.00259623")</f>
        <v>05-02-2019</v>
      </c>
      <c r="D163" t="str">
        <f>[1]!DNAGetTime("BBPS.SCADA03.00259623")</f>
        <v>10:09:22</v>
      </c>
      <c r="E163" s="1">
        <v>43587.423171296294</v>
      </c>
      <c r="F163">
        <f>[1]!DNAGetValue("BBPS.SCADA03.00259623")</f>
        <v>12.089999199999999</v>
      </c>
      <c r="G163" t="str">
        <f>[1]!DNAGetStatus("BBPS.SCADA03.00259623")</f>
        <v>OK</v>
      </c>
    </row>
    <row r="164" spans="1:7">
      <c r="A164" t="s">
        <v>343</v>
      </c>
      <c r="B164" t="s">
        <v>344</v>
      </c>
      <c r="C164" t="str">
        <f>[1]!DNAGetDate("BBPS.SCADA03.00259290")</f>
        <v>05-02-2019</v>
      </c>
      <c r="D164" t="str">
        <f>[1]!DNAGetTime("BBPS.SCADA03.00259290")</f>
        <v>10:07:44</v>
      </c>
      <c r="E164" s="1">
        <v>43587.422037037039</v>
      </c>
      <c r="F164">
        <f>[1]!DNAGetValue("BBPS.SCADA03.00259290")</f>
        <v>2.6099999</v>
      </c>
      <c r="G164" t="str">
        <f>[1]!DNAGetStatus("BBPS.SCADA03.00259290")</f>
        <v>OK</v>
      </c>
    </row>
    <row r="165" spans="1:7">
      <c r="A165" t="s">
        <v>345</v>
      </c>
      <c r="B165" t="s">
        <v>346</v>
      </c>
      <c r="C165" t="str">
        <f>[1]!DNAGetDate("BBPS.SCADA03.00259285")</f>
        <v>05-02-2019</v>
      </c>
      <c r="D165" t="str">
        <f>[1]!DNAGetTime("BBPS.SCADA03.00259285")</f>
        <v>10:07:44</v>
      </c>
      <c r="E165" s="1">
        <v>43587.422037037039</v>
      </c>
      <c r="F165">
        <f>[1]!DNAGetValue("BBPS.SCADA03.00259285")</f>
        <v>2.5499999500000001</v>
      </c>
      <c r="G165" t="str">
        <f>[1]!DNAGetStatus("BBPS.SCADA03.00259285")</f>
        <v>OK</v>
      </c>
    </row>
    <row r="166" spans="1:7">
      <c r="A166" t="s">
        <v>347</v>
      </c>
      <c r="B166" t="s">
        <v>348</v>
      </c>
      <c r="C166" t="str">
        <f>[1]!DNAGetDate("BBPS.SCADA03.00259282")</f>
        <v>05-02-2019</v>
      </c>
      <c r="D166" t="str">
        <f>[1]!DNAGetTime("BBPS.SCADA03.00259282")</f>
        <v>10:08:52</v>
      </c>
      <c r="E166" s="1">
        <v>43587.422824074078</v>
      </c>
      <c r="F166">
        <f>[1]!DNAGetValue("BBPS.SCADA03.00259282")</f>
        <v>2.44999981</v>
      </c>
      <c r="G166" t="str">
        <f>[1]!DNAGetStatus("BBPS.SCADA03.00259282")</f>
        <v>OK</v>
      </c>
    </row>
    <row r="167" spans="1:7">
      <c r="A167" t="s">
        <v>349</v>
      </c>
      <c r="B167" t="s">
        <v>350</v>
      </c>
      <c r="C167" t="str">
        <f>[1]!DNAGetDate("BBPS.SCADA03.00259295")</f>
        <v>05-02-2019</v>
      </c>
      <c r="D167" t="str">
        <f>[1]!DNAGetTime("BBPS.SCADA03.00259295")</f>
        <v>10:08:36</v>
      </c>
      <c r="E167" s="1">
        <v>43587.422638888886</v>
      </c>
      <c r="F167">
        <f>[1]!DNAGetValue("BBPS.SCADA03.00259295")</f>
        <v>2.44999981</v>
      </c>
      <c r="G167" t="str">
        <f>[1]!DNAGetStatus("BBPS.SCADA03.00259295")</f>
        <v>OK</v>
      </c>
    </row>
    <row r="168" spans="1:7">
      <c r="A168" t="s">
        <v>351</v>
      </c>
      <c r="B168" t="s">
        <v>352</v>
      </c>
      <c r="C168" t="str">
        <f>[1]!DNAGetDate("BBPS.SCADA03.00259298")</f>
        <v>05-02-2019</v>
      </c>
      <c r="D168" t="str">
        <f>[1]!DNAGetTime("BBPS.SCADA03.00259298")</f>
        <v>10:08:52</v>
      </c>
      <c r="E168" s="1">
        <v>43587.422824074078</v>
      </c>
      <c r="F168">
        <f>[1]!DNAGetValue("BBPS.SCADA03.00259298")</f>
        <v>2.02999997</v>
      </c>
      <c r="G168" t="str">
        <f>[1]!DNAGetStatus("BBPS.SCADA03.00259298")</f>
        <v>OK</v>
      </c>
    </row>
    <row r="169" spans="1:7">
      <c r="A169" t="s">
        <v>410</v>
      </c>
      <c r="B169" t="s">
        <v>193</v>
      </c>
      <c r="C169" t="str">
        <f>[1]!DNAGetDate("BBPS.SCADA03.00259624")</f>
        <v>05-02-2019</v>
      </c>
      <c r="D169" t="str">
        <f>[1]!DNAGetTime("BBPS.SCADA03.00259624")</f>
        <v>10:08:52</v>
      </c>
      <c r="E169" s="1">
        <v>43587.422824074078</v>
      </c>
      <c r="F169">
        <f>[1]!DNAGetValue("BBPS.SCADA03.00259624")</f>
        <v>12.089999199999999</v>
      </c>
      <c r="G169" t="str">
        <f>[1]!DNAGetStatus("BBPS.SCADA03.00259624")</f>
        <v>OK</v>
      </c>
    </row>
    <row r="170" spans="1:7">
      <c r="A170" t="s">
        <v>353</v>
      </c>
      <c r="B170" t="s">
        <v>354</v>
      </c>
      <c r="C170" t="str">
        <f>[1]!DNAGetDate("BBPS.SCADA03.00259324")</f>
        <v>05-02-2019</v>
      </c>
      <c r="D170" t="str">
        <f>[1]!DNAGetTime("BBPS.SCADA03.00259324")</f>
        <v>10:09:30</v>
      </c>
      <c r="E170" s="1">
        <v>43587.423263888886</v>
      </c>
      <c r="F170">
        <f>[1]!DNAGetValue("BBPS.SCADA03.00259324")</f>
        <v>2.5099999899999998</v>
      </c>
      <c r="G170" t="str">
        <f>[1]!DNAGetStatus("BBPS.SCADA03.00259324")</f>
        <v>OK</v>
      </c>
    </row>
    <row r="171" spans="1:7">
      <c r="A171" t="s">
        <v>355</v>
      </c>
      <c r="B171" t="s">
        <v>356</v>
      </c>
      <c r="C171" t="str">
        <f>[1]!DNAGetDate("BBPS.SCADA03.00259319")</f>
        <v>05-02-2019</v>
      </c>
      <c r="D171" t="str">
        <f>[1]!DNAGetTime("BBPS.SCADA03.00259319")</f>
        <v>10:09:30</v>
      </c>
      <c r="E171" s="1">
        <v>43587.423263888886</v>
      </c>
      <c r="F171">
        <f>[1]!DNAGetValue("BBPS.SCADA03.00259319")</f>
        <v>2.7399997699999998</v>
      </c>
      <c r="G171" t="str">
        <f>[1]!DNAGetStatus("BBPS.SCADA03.00259319")</f>
        <v>OK</v>
      </c>
    </row>
    <row r="172" spans="1:7">
      <c r="A172" t="s">
        <v>357</v>
      </c>
      <c r="B172" t="s">
        <v>358</v>
      </c>
      <c r="C172" t="str">
        <f>[1]!DNAGetDate("BBPS.SCADA03.00259316")</f>
        <v>05-02-2019</v>
      </c>
      <c r="D172" t="str">
        <f>[1]!DNAGetTime("BBPS.SCADA03.00259316")</f>
        <v>10:09:03</v>
      </c>
      <c r="E172" s="1">
        <v>43587.422951388886</v>
      </c>
      <c r="F172">
        <f>[1]!DNAGetValue("BBPS.SCADA03.00259316")</f>
        <v>2.8299999200000001</v>
      </c>
      <c r="G172" t="str">
        <f>[1]!DNAGetStatus("BBPS.SCADA03.00259316")</f>
        <v>OK</v>
      </c>
    </row>
    <row r="173" spans="1:7">
      <c r="A173" t="s">
        <v>411</v>
      </c>
      <c r="B173" t="s">
        <v>196</v>
      </c>
      <c r="C173" t="str">
        <f>[1]!DNAGetDate("BBPS.SCADA03.00259626")</f>
        <v>05-02-2019</v>
      </c>
      <c r="D173" t="str">
        <f>[1]!DNAGetTime("BBPS.SCADA03.00259626")</f>
        <v>10:09:30</v>
      </c>
      <c r="E173" s="1">
        <v>43587.423263888886</v>
      </c>
      <c r="F173">
        <f>[1]!DNAGetValue("BBPS.SCADA03.00259626")</f>
        <v>8.0799999200000006</v>
      </c>
      <c r="G173" t="str">
        <f>[1]!DNAGetStatus("BBPS.SCADA03.00259626")</f>
        <v>OK</v>
      </c>
    </row>
    <row r="174" spans="1:7">
      <c r="A174" t="s">
        <v>404</v>
      </c>
      <c r="B174" t="s">
        <v>223</v>
      </c>
      <c r="C174" t="str">
        <f>[1]!DNAGetDate("BBPS.SCADA03.00259836")</f>
        <v>05-02-2019</v>
      </c>
      <c r="D174" t="str">
        <f>[1]!DNAGetTime("BBPS.SCADA03.00259836")</f>
        <v>10:09:19</v>
      </c>
      <c r="E174" s="1">
        <v>43587.423136574071</v>
      </c>
      <c r="F174">
        <f>[1]!DNAGetValue("BBPS.SCADA03.00259836")</f>
        <v>13.829999900000001</v>
      </c>
      <c r="G174" t="str">
        <f>[1]!DNAGetStatus("BBPS.SCADA03.00259836")</f>
        <v>OK</v>
      </c>
    </row>
    <row r="175" spans="1:7">
      <c r="A175" t="s">
        <v>405</v>
      </c>
      <c r="B175" t="s">
        <v>224</v>
      </c>
      <c r="C175" t="str">
        <f>[1]!DNAGetDate("BBPS.SCADA03.00259801")</f>
        <v>05-02-2019</v>
      </c>
      <c r="D175" t="str">
        <f>[1]!DNAGetTime("BBPS.SCADA03.00259801")</f>
        <v>10:09:19</v>
      </c>
      <c r="E175" s="1">
        <v>43587.423136574071</v>
      </c>
      <c r="F175">
        <f>[1]!DNAGetValue("BBPS.SCADA03.00259801")</f>
        <v>14.062999700000001</v>
      </c>
      <c r="G175" t="str">
        <f>[1]!DNAGetStatus("BBPS.SCADA03.00259801")</f>
        <v>OK</v>
      </c>
    </row>
    <row r="176" spans="1:7">
      <c r="A176" t="s">
        <v>406</v>
      </c>
      <c r="B176" t="s">
        <v>225</v>
      </c>
      <c r="C176" t="str">
        <f>[1]!DNAGetDate("BBPS.SCADA03.00259871")</f>
        <v>05-02-2019</v>
      </c>
      <c r="D176" t="str">
        <f>[1]!DNAGetTime("BBPS.SCADA03.00259871")</f>
        <v>10:09:29</v>
      </c>
      <c r="E176" s="1">
        <v>43587.423252314817</v>
      </c>
      <c r="F176">
        <f>[1]!DNAGetValue("BBPS.SCADA03.00259871")</f>
        <v>11.04</v>
      </c>
      <c r="G176" t="str">
        <f>[1]!DNAGetStatus("BBPS.SCADA03.00259871")</f>
        <v>OK</v>
      </c>
    </row>
    <row r="177" spans="1:7">
      <c r="A177" t="s">
        <v>360</v>
      </c>
      <c r="B177" t="s">
        <v>385</v>
      </c>
      <c r="C177" t="str">
        <f>[1]!DNAGetDate("BBPS.SCADA03.00260349")</f>
        <v>05-02-2019</v>
      </c>
      <c r="D177" t="str">
        <f>[1]!DNAGetTime("BBPS.SCADA03.00260349")</f>
        <v>10:09:29</v>
      </c>
      <c r="E177" s="1">
        <v>43587.423252314817</v>
      </c>
      <c r="F177">
        <f>[1]!DNAGetValue("BBPS.SCADA03.00260349")</f>
        <v>38.932998699999999</v>
      </c>
      <c r="G177" t="str">
        <f>[1]!DNAGetStatus("BBPS.SCADA03.00260349")</f>
        <v>OK</v>
      </c>
    </row>
    <row r="178" spans="1:7">
      <c r="A178" t="s">
        <v>167</v>
      </c>
      <c r="B178" t="s">
        <v>201</v>
      </c>
      <c r="C178" t="str">
        <f>[1]!DNAGetDate("BBPS.SCADA03.00259685")</f>
        <v>05-02-2019</v>
      </c>
      <c r="D178" t="str">
        <f>[1]!DNAGetTime("BBPS.SCADA03.00259685")</f>
        <v>10:09:18</v>
      </c>
      <c r="E178" s="1">
        <v>43587.423125000001</v>
      </c>
      <c r="F178">
        <f>[1]!DNAGetValue("BBPS.SCADA03.00259685")</f>
        <v>1.7949999599999999</v>
      </c>
      <c r="G178" t="str">
        <f>[1]!DNAGetStatus("BBPS.SCADA03.00259685")</f>
        <v>OK</v>
      </c>
    </row>
    <row r="179" spans="1:7">
      <c r="A179" t="s">
        <v>168</v>
      </c>
      <c r="B179" t="s">
        <v>202</v>
      </c>
      <c r="C179" t="str">
        <f>[1]!DNAGetDate("BBPS.SCADA03.00259709")</f>
        <v>05-02-2019</v>
      </c>
      <c r="D179" t="str">
        <f>[1]!DNAGetTime("BBPS.SCADA03.00259709")</f>
        <v>10:09:17</v>
      </c>
      <c r="E179" s="1">
        <v>43587.423113425924</v>
      </c>
      <c r="F179">
        <f>[1]!DNAGetValue("BBPS.SCADA03.00259709")</f>
        <v>6.6059999500000002</v>
      </c>
      <c r="G179" t="str">
        <f>[1]!DNAGetStatus("BBPS.SCADA03.00259709")</f>
        <v>OK</v>
      </c>
    </row>
    <row r="180" spans="1:7">
      <c r="A180" t="s">
        <v>169</v>
      </c>
      <c r="B180" t="s">
        <v>203</v>
      </c>
      <c r="C180" t="str">
        <f>[1]!DNAGetDate("BBPS.SCADA03.00259730")</f>
        <v>05-02-2019</v>
      </c>
      <c r="D180" t="str">
        <f>[1]!DNAGetTime("BBPS.SCADA03.00259730")</f>
        <v>10:09:17</v>
      </c>
      <c r="E180" s="1">
        <v>43587.423113425924</v>
      </c>
      <c r="F180">
        <f>[1]!DNAGetValue("BBPS.SCADA03.00259730")</f>
        <v>6.4561600700000001</v>
      </c>
      <c r="G180" t="str">
        <f>[1]!DNAGetStatus("BBPS.SCADA03.00259730")</f>
        <v>OK</v>
      </c>
    </row>
    <row r="181" spans="1:7">
      <c r="A181" t="s">
        <v>359</v>
      </c>
      <c r="B181" t="s">
        <v>386</v>
      </c>
      <c r="C181" t="str">
        <f>[1]!DNAGetDate("BBPS.SCADA03.00260350")</f>
        <v>05-02-2019</v>
      </c>
      <c r="D181" t="str">
        <f>[1]!DNAGetTime("BBPS.SCADA03.00260350")</f>
        <v>10:09:18</v>
      </c>
      <c r="E181" s="1">
        <v>43587.423125000001</v>
      </c>
      <c r="F181">
        <f>[1]!DNAGetValue("BBPS.SCADA03.00260350")</f>
        <v>14.857159599999999</v>
      </c>
      <c r="G181" t="str">
        <f>[1]!DNAGetStatus("BBPS.SCADA03.00260350")</f>
        <v>OK</v>
      </c>
    </row>
    <row r="182" spans="1:7">
      <c r="A182" t="s">
        <v>361</v>
      </c>
      <c r="B182" t="s">
        <v>387</v>
      </c>
      <c r="C182" t="str">
        <f>[1]!DNAGetDate("BBPS.SCADA03.00260325")</f>
        <v>05-02-2019</v>
      </c>
      <c r="D182" t="str">
        <f>[1]!DNAGetTime("BBPS.SCADA03.00260325")</f>
        <v>10:09:19</v>
      </c>
      <c r="E182" s="1">
        <v>43587.423136574071</v>
      </c>
      <c r="F182">
        <f>[1]!DNAGetValue("BBPS.SCADA03.00260325")</f>
        <v>1.8152694700000001</v>
      </c>
      <c r="G182" t="str">
        <f>[1]!DNAGetStatus("BBPS.SCADA03.00260325")</f>
        <v>OK</v>
      </c>
    </row>
    <row r="183" spans="1:7">
      <c r="A183" t="s">
        <v>362</v>
      </c>
      <c r="B183" t="s">
        <v>388</v>
      </c>
      <c r="C183" t="str">
        <f>[1]!DNAGetDate("BBPS.SCADA03.00260328")</f>
        <v>05-02-2019</v>
      </c>
      <c r="D183" t="str">
        <f>[1]!DNAGetTime("BBPS.SCADA03.00260328")</f>
        <v>10:09:19</v>
      </c>
      <c r="E183" s="1">
        <v>43587.423136574071</v>
      </c>
      <c r="F183">
        <f>[1]!DNAGetValue("BBPS.SCADA03.00260328")</f>
        <v>1.85480237</v>
      </c>
      <c r="G183" t="str">
        <f>[1]!DNAGetStatus("BBPS.SCADA03.00260328")</f>
        <v>OK</v>
      </c>
    </row>
    <row r="184" spans="1:7">
      <c r="A184" t="s">
        <v>363</v>
      </c>
      <c r="B184" t="s">
        <v>389</v>
      </c>
      <c r="C184" t="str">
        <f>[1]!DNAGetDate("BBPS.SCADA03.00260324")</f>
        <v>05-02-2019</v>
      </c>
      <c r="D184" t="str">
        <f>[1]!DNAGetTime("BBPS.SCADA03.00260324")</f>
        <v>10:09:19</v>
      </c>
      <c r="E184" s="1">
        <v>43587.423136574071</v>
      </c>
      <c r="F184">
        <f>[1]!DNAGetValue("BBPS.SCADA03.00260324")</f>
        <v>1.8518569499999999</v>
      </c>
      <c r="G184" t="str">
        <f>[1]!DNAGetStatus("BBPS.SCADA03.00260324")</f>
        <v>OK</v>
      </c>
    </row>
    <row r="185" spans="1:7">
      <c r="A185" t="s">
        <v>364</v>
      </c>
      <c r="B185" t="s">
        <v>390</v>
      </c>
      <c r="C185" t="str">
        <f>[1]!DNAGetDate("BBPS.SCADA03.00260321")</f>
        <v>05-02-2019</v>
      </c>
      <c r="D185" t="str">
        <f>[1]!DNAGetTime("BBPS.SCADA03.00260321")</f>
        <v>10:09:19</v>
      </c>
      <c r="E185" s="1">
        <v>43587.423136574071</v>
      </c>
      <c r="F185">
        <f>[1]!DNAGetValue("BBPS.SCADA03.00260321")</f>
        <v>1.87262905</v>
      </c>
      <c r="G185" t="str">
        <f>[1]!DNAGetStatus("BBPS.SCADA03.00260321")</f>
        <v>OK</v>
      </c>
    </row>
    <row r="186" spans="1:7">
      <c r="A186" t="s">
        <v>365</v>
      </c>
      <c r="B186" t="s">
        <v>391</v>
      </c>
      <c r="C186" t="str">
        <f>[1]!DNAGetDate("BBPS.SCADA03.00260318")</f>
        <v>05-02-2019</v>
      </c>
      <c r="D186" t="str">
        <f>[1]!DNAGetTime("BBPS.SCADA03.00260318")</f>
        <v>10:09:19</v>
      </c>
      <c r="E186" s="1">
        <v>43587.423136574071</v>
      </c>
      <c r="F186">
        <f>[1]!DNAGetValue("BBPS.SCADA03.00260318")</f>
        <v>0.45794513799999997</v>
      </c>
      <c r="G186" t="str">
        <f>[1]!DNAGetStatus("BBPS.SCADA03.00260318")</f>
        <v>OK</v>
      </c>
    </row>
    <row r="187" spans="1:7">
      <c r="A187" t="s">
        <v>366</v>
      </c>
      <c r="B187" t="s">
        <v>392</v>
      </c>
      <c r="C187" t="str">
        <f>[1]!DNAGetDate("BBPS.SCADA03.00260313")</f>
        <v>05-02-2019</v>
      </c>
      <c r="D187" t="str">
        <f>[1]!DNAGetTime("BBPS.SCADA03.00260313")</f>
        <v>10:09:19</v>
      </c>
      <c r="E187" s="1">
        <v>43587.423136574071</v>
      </c>
      <c r="F187">
        <f>[1]!DNAGetValue("BBPS.SCADA03.00260313")</f>
        <v>1.8127579700000001</v>
      </c>
      <c r="G187" t="str">
        <f>[1]!DNAGetStatus("BBPS.SCADA03.00260313")</f>
        <v>OK</v>
      </c>
    </row>
    <row r="188" spans="1:7">
      <c r="A188" t="s">
        <v>367</v>
      </c>
      <c r="B188" t="s">
        <v>513</v>
      </c>
      <c r="C188" t="str">
        <f>[1]!DNAGetDate("BBPS.SCADA03.00260314")</f>
        <v>05-02-2019</v>
      </c>
      <c r="D188" t="str">
        <f>[1]!DNAGetTime("BBPS.SCADA03.00260314")</f>
        <v>10:09:19</v>
      </c>
      <c r="E188" s="1">
        <v>43587.423136574071</v>
      </c>
      <c r="F188">
        <f>[1]!DNAGetValue("BBPS.SCADA03.00260314")</f>
        <v>-5.4739024499999997E-2</v>
      </c>
      <c r="G188" t="str">
        <f>[1]!DNAGetStatus("BBPS.SCADA03.00260314")</f>
        <v>OK</v>
      </c>
    </row>
    <row r="189" spans="1:7">
      <c r="A189" t="s">
        <v>412</v>
      </c>
      <c r="B189" t="s">
        <v>211</v>
      </c>
      <c r="C189" t="str">
        <f>[1]!DNAGetDate("BBPS.SCADA03.00259675")</f>
        <v>05-02-2019</v>
      </c>
      <c r="D189" t="str">
        <f>[1]!DNAGetTime("BBPS.SCADA03.00259675")</f>
        <v>10:09:19</v>
      </c>
      <c r="E189" s="1">
        <v>43587.423136574071</v>
      </c>
      <c r="F189">
        <f>[1]!DNAGetValue("BBPS.SCADA03.00259675")</f>
        <v>11.0229053</v>
      </c>
      <c r="G189" t="str">
        <f>[1]!DNAGetStatus("BBPS.SCADA03.00259675")</f>
        <v>OK</v>
      </c>
    </row>
    <row r="190" spans="1:7">
      <c r="A190" t="s">
        <v>230</v>
      </c>
      <c r="B190" t="s">
        <v>212</v>
      </c>
      <c r="C190" t="str">
        <f>[1]!DNAGetDate("BBPS.SCADA03.00259338")</f>
        <v>05-02-2019</v>
      </c>
      <c r="D190" t="str">
        <f>[1]!DNAGetTime("BBPS.SCADA03.00259338")</f>
        <v>10:09:17</v>
      </c>
      <c r="E190" s="1">
        <v>43587.423113425924</v>
      </c>
      <c r="F190">
        <f>[1]!DNAGetValue("BBPS.SCADA03.00259338")</f>
        <v>0.43726000199999998</v>
      </c>
      <c r="G190" t="str">
        <f>[1]!DNAGetStatus("BBPS.SCADA03.00259338")</f>
        <v>OK</v>
      </c>
    </row>
    <row r="191" spans="1:7">
      <c r="A191" t="s">
        <v>170</v>
      </c>
      <c r="B191" t="s">
        <v>368</v>
      </c>
      <c r="C191" t="str">
        <f>[1]!DNAGetDate("BBPS.SCADA03.00260392")</f>
        <v>05-02-2019</v>
      </c>
      <c r="D191" t="str">
        <f>[1]!DNAGetTime("BBPS.SCADA03.00260392")</f>
        <v>10:09:29</v>
      </c>
      <c r="E191" s="1">
        <v>43587.423252314817</v>
      </c>
      <c r="F191">
        <f>[1]!DNAGetValue("BBPS.SCADA03.00260392")</f>
        <v>11.4084129</v>
      </c>
      <c r="G191" t="str">
        <f>[1]!DNAGetStatus("BBPS.SCADA03.00260392")</f>
        <v>OK</v>
      </c>
    </row>
    <row r="192" spans="1:7">
      <c r="A192" t="s">
        <v>370</v>
      </c>
      <c r="B192" t="s">
        <v>393</v>
      </c>
      <c r="C192" t="str">
        <f>[1]!DNAGetDate("BBPS.SCADA03.00259678")</f>
        <v>01-02-2019</v>
      </c>
      <c r="D192" t="str">
        <f>[1]!DNAGetTime("BBPS.SCADA03.00259678")</f>
        <v>17:02:39</v>
      </c>
      <c r="E192" s="1">
        <v>43467.710173611114</v>
      </c>
      <c r="F192">
        <f>[1]!DNAGetValue("BBPS.SCADA03.00259678")</f>
        <v>-2.76174932E-3</v>
      </c>
      <c r="G192" t="str">
        <f>[1]!DNAGetStatus("BBPS.SCADA03.00259678")</f>
        <v>SUSPECT</v>
      </c>
    </row>
    <row r="193" spans="1:7">
      <c r="A193" t="s">
        <v>371</v>
      </c>
      <c r="B193" t="s">
        <v>394</v>
      </c>
      <c r="C193" t="str">
        <f>[1]!DNAGetDate("BBPS.SCADA03.00260399")</f>
        <v>01-02-2019</v>
      </c>
      <c r="D193" t="str">
        <f>[1]!DNAGetTime("BBPS.SCADA03.00260399")</f>
        <v>17:02:39</v>
      </c>
      <c r="E193" s="1">
        <v>43467.710173611114</v>
      </c>
      <c r="F193">
        <f>[1]!DNAGetValue("BBPS.SCADA03.00260399")</f>
        <v>-2.76174932E-3</v>
      </c>
      <c r="G193" t="str">
        <f>[1]!DNAGetStatus("BBPS.SCADA03.00260399")</f>
        <v>SUSPECT</v>
      </c>
    </row>
    <row r="194" spans="1:7">
      <c r="A194" t="s">
        <v>372</v>
      </c>
      <c r="B194" t="s">
        <v>395</v>
      </c>
      <c r="C194" t="str">
        <f>[1]!DNAGetDate("BBPS.SCADA03.00260403")</f>
        <v>01-02-2019</v>
      </c>
      <c r="D194" t="str">
        <f>[1]!DNAGetTime("BBPS.SCADA03.00260403")</f>
        <v>17:02:39</v>
      </c>
      <c r="E194" s="1">
        <v>43467.710173611114</v>
      </c>
      <c r="F194">
        <f>[1]!DNAGetValue("BBPS.SCADA03.00260403")</f>
        <v>-4.9711493799999996E-3</v>
      </c>
      <c r="G194" t="str">
        <f>[1]!DNAGetStatus("BBPS.SCADA03.00260403")</f>
        <v>SUSPECT</v>
      </c>
    </row>
    <row r="195" spans="1:7">
      <c r="A195" t="s">
        <v>369</v>
      </c>
      <c r="B195" t="s">
        <v>396</v>
      </c>
      <c r="C195" t="str">
        <f>[1]!DNAGetDate("BBPS.SCADA03.00260405")</f>
        <v>01-02-2019</v>
      </c>
      <c r="D195" t="str">
        <f>[1]!DNAGetTime("BBPS.SCADA03.00260405")</f>
        <v>17:02:39</v>
      </c>
      <c r="E195" s="1">
        <v>43467.710173611114</v>
      </c>
      <c r="F195">
        <f>[1]!DNAGetValue("BBPS.SCADA03.00260405")</f>
        <v>-2.8780335599999998E-3</v>
      </c>
      <c r="G195" t="str">
        <f>[1]!DNAGetStatus("BBPS.SCADA03.00260405")</f>
        <v>SUSPECT</v>
      </c>
    </row>
    <row r="196" spans="1:7">
      <c r="A196" t="s">
        <v>413</v>
      </c>
      <c r="B196" t="s">
        <v>213</v>
      </c>
      <c r="C196" t="str">
        <f>[1]!DNAGetDate("BBPS.SCADA03.00260629")</f>
        <v>01-02-2019</v>
      </c>
      <c r="D196" t="str">
        <f>[1]!DNAGetTime("BBPS.SCADA03.00260629")</f>
        <v>17:02:39</v>
      </c>
      <c r="E196" s="1">
        <v>43467.710173611114</v>
      </c>
      <c r="F196">
        <f>[1]!DNAGetValue("BBPS.SCADA03.00260629")</f>
        <v>-1.3372682E-2</v>
      </c>
      <c r="G196" t="str">
        <f>[1]!DNAGetStatus("BBPS.SCADA03.00260629")</f>
        <v>SUSPECT</v>
      </c>
    </row>
    <row r="197" spans="1:7">
      <c r="A197" t="s">
        <v>171</v>
      </c>
      <c r="B197" t="s">
        <v>204</v>
      </c>
      <c r="C197" t="str">
        <f>[1]!DNAGetDate("BBPS.SCADA03.00259456")</f>
        <v>05-02-2019</v>
      </c>
      <c r="D197" t="str">
        <f>[1]!DNAGetTime("BBPS.SCADA03.00259456")</f>
        <v>10:09:24</v>
      </c>
      <c r="E197" s="1">
        <v>43587.423194444447</v>
      </c>
      <c r="F197">
        <f>[1]!DNAGetValue("BBPS.SCADA03.00259456")</f>
        <v>12.5999994</v>
      </c>
      <c r="G197" t="str">
        <f>[1]!DNAGetStatus("BBPS.SCADA03.00259456")</f>
        <v>OK</v>
      </c>
    </row>
    <row r="198" spans="1:7">
      <c r="A198" t="s">
        <v>227</v>
      </c>
      <c r="B198" t="s">
        <v>205</v>
      </c>
      <c r="C198" t="str">
        <f>[1]!DNAGetDate("BBPS.SCADA03.00259463")</f>
        <v>05-02-2019</v>
      </c>
      <c r="D198" t="str">
        <f>[1]!DNAGetTime("BBPS.SCADA03.00259463")</f>
        <v>10:09:24</v>
      </c>
      <c r="E198" s="1">
        <v>43587.423194444447</v>
      </c>
      <c r="F198">
        <f>[1]!DNAGetValue("BBPS.SCADA03.00259463")</f>
        <v>13.5999994</v>
      </c>
      <c r="G198" t="str">
        <f>[1]!DNAGetStatus("BBPS.SCADA03.00259463")</f>
        <v>OK</v>
      </c>
    </row>
    <row r="199" spans="1:7">
      <c r="A199" t="s">
        <v>172</v>
      </c>
      <c r="B199" t="s">
        <v>206</v>
      </c>
      <c r="C199" t="str">
        <f>[1]!DNAGetDate("BBPS.SCADA03.00259470")</f>
        <v>05-02-2019</v>
      </c>
      <c r="D199" t="str">
        <f>[1]!DNAGetTime("BBPS.SCADA03.00259470")</f>
        <v>10:07:22</v>
      </c>
      <c r="E199" s="1">
        <v>43587.421782407408</v>
      </c>
      <c r="F199">
        <f>[1]!DNAGetValue("BBPS.SCADA03.00259470")</f>
        <v>12.7999992</v>
      </c>
      <c r="G199" t="str">
        <f>[1]!DNAGetStatus("BBPS.SCADA03.00259470")</f>
        <v>OK</v>
      </c>
    </row>
    <row r="200" spans="1:7">
      <c r="A200" t="s">
        <v>173</v>
      </c>
      <c r="B200" t="s">
        <v>207</v>
      </c>
      <c r="C200" t="str">
        <f>[1]!DNAGetDate("BBPS.SCADA03.00259477")</f>
        <v>05-02-2019</v>
      </c>
      <c r="D200" t="str">
        <f>[1]!DNAGetTime("BBPS.SCADA03.00259477")</f>
        <v>10:09:24</v>
      </c>
      <c r="E200" s="1">
        <v>43587.423194444447</v>
      </c>
      <c r="F200">
        <f>[1]!DNAGetValue("BBPS.SCADA03.00259477")</f>
        <v>7.5999999000000003</v>
      </c>
      <c r="G200" t="str">
        <f>[1]!DNAGetStatus("BBPS.SCADA03.00259477")</f>
        <v>OK</v>
      </c>
    </row>
    <row r="201" spans="1:7">
      <c r="A201" t="s">
        <v>174</v>
      </c>
      <c r="B201" t="s">
        <v>208</v>
      </c>
      <c r="C201" t="str">
        <f>[1]!DNAGetDate("BBPS.SCADA03.00259484")</f>
        <v>05-02-2019</v>
      </c>
      <c r="D201" t="str">
        <f>[1]!DNAGetTime("BBPS.SCADA03.00259484")</f>
        <v>10:09:25</v>
      </c>
      <c r="E201" s="1">
        <v>43587.423206018517</v>
      </c>
      <c r="F201">
        <f>[1]!DNAGetValue("BBPS.SCADA03.00259484")</f>
        <v>3.5</v>
      </c>
      <c r="G201" t="str">
        <f>[1]!DNAGetStatus("BBPS.SCADA03.00259484")</f>
        <v>OK</v>
      </c>
    </row>
    <row r="202" spans="1:7">
      <c r="A202" t="s">
        <v>228</v>
      </c>
      <c r="B202" t="s">
        <v>209</v>
      </c>
      <c r="C202" t="str">
        <f>[1]!DNAGetDate("BBPS.SCADA03.00259491")</f>
        <v>05-02-2019</v>
      </c>
      <c r="D202" t="str">
        <f>[1]!DNAGetTime("BBPS.SCADA03.00259491")</f>
        <v>10:09:24</v>
      </c>
      <c r="E202" s="1">
        <v>43587.423194444447</v>
      </c>
      <c r="F202">
        <f>[1]!DNAGetValue("BBPS.SCADA03.00259491")</f>
        <v>13.2999992</v>
      </c>
      <c r="G202" t="str">
        <f>[1]!DNAGetStatus("BBPS.SCADA03.00259491")</f>
        <v>OK</v>
      </c>
    </row>
    <row r="203" spans="1:7">
      <c r="A203" t="s">
        <v>229</v>
      </c>
      <c r="B203" t="s">
        <v>210</v>
      </c>
      <c r="C203" t="str">
        <f>[1]!DNAGetDate("BBPS.SCADA03.00259498")</f>
        <v>05-02-2019</v>
      </c>
      <c r="D203" t="str">
        <f>[1]!DNAGetTime("BBPS.SCADA03.00259498")</f>
        <v>10:09:24</v>
      </c>
      <c r="E203" s="1">
        <v>43587.423194444447</v>
      </c>
      <c r="F203">
        <f>[1]!DNAGetValue("BBPS.SCADA03.00259498")</f>
        <v>13.7999992</v>
      </c>
      <c r="G203" t="str">
        <f>[1]!DNAGetStatus("BBPS.SCADA03.00259498")</f>
        <v>OK</v>
      </c>
    </row>
    <row r="204" spans="1:7">
      <c r="A204" t="s">
        <v>373</v>
      </c>
      <c r="B204" t="s">
        <v>397</v>
      </c>
      <c r="C204" t="str">
        <f>[1]!DNAGetDate("BBPS.SCADA04.00426759")</f>
        <v>05-02-2019</v>
      </c>
      <c r="D204" t="str">
        <f>[1]!DNAGetTime("BBPS.SCADA04.00426759")</f>
        <v>10:09:25</v>
      </c>
      <c r="E204" s="1">
        <v>43587.423206018517</v>
      </c>
      <c r="F204">
        <f>[1]!DNAGetValue("BBPS.SCADA04.00426759")</f>
        <v>77.199996900000002</v>
      </c>
      <c r="G204" t="str">
        <f>[1]!DNAGetStatus("BBPS.SCADA04.00426759")</f>
        <v>OK</v>
      </c>
    </row>
    <row r="205" spans="1:7">
      <c r="A205" t="s">
        <v>235</v>
      </c>
      <c r="B205" t="s">
        <v>158</v>
      </c>
      <c r="C205" t="str">
        <f>[1]!DNAGetDate("BBPS.SCADA03.00260586")</f>
        <v>05-02-2019</v>
      </c>
      <c r="D205" t="str">
        <f>[1]!DNAGetTime("BBPS.SCADA03.00260586")</f>
        <v>10:09:32</v>
      </c>
      <c r="E205" s="1">
        <v>43587.42328703704</v>
      </c>
      <c r="F205">
        <f>[1]!DNAGetValue("BBPS.SCADA03.00260586")</f>
        <v>5.9871521000000003</v>
      </c>
      <c r="G205" t="str">
        <f>[1]!DNAGetStatus("BBPS.SCADA03.00260586")</f>
        <v>OK</v>
      </c>
    </row>
    <row r="206" spans="1:7">
      <c r="A206" t="s">
        <v>237</v>
      </c>
      <c r="B206" t="s">
        <v>284</v>
      </c>
      <c r="C206" t="str">
        <f>[1]!DNAGetDate("BBPS.SCADA04.00426923")</f>
        <v>05-02-2019</v>
      </c>
      <c r="D206" t="str">
        <f>[1]!DNAGetTime("BBPS.SCADA04.00426923")</f>
        <v>10:09:18</v>
      </c>
      <c r="E206" s="1">
        <v>43587.423125000001</v>
      </c>
      <c r="F206">
        <f>[1]!DNAGetValue("BBPS.SCADA04.00426923")</f>
        <v>1.62600005</v>
      </c>
      <c r="G206" t="str">
        <f>[1]!DNAGetStatus("BBPS.SCADA04.00426923")</f>
        <v>OK</v>
      </c>
    </row>
    <row r="207" spans="1:7">
      <c r="A207" t="s">
        <v>238</v>
      </c>
      <c r="B207" t="s">
        <v>239</v>
      </c>
      <c r="C207" t="str">
        <f>[1]!DNAGetDate("BBPS.SCADA03.00260409")</f>
        <v>05-02-2019</v>
      </c>
      <c r="D207" t="str">
        <f>[1]!DNAGetTime("BBPS.SCADA03.00260409")</f>
        <v>10:09:02</v>
      </c>
      <c r="E207" s="1">
        <v>43587.422939814816</v>
      </c>
      <c r="F207">
        <f>[1]!DNAGetValue("BBPS.SCADA03.00260409")</f>
        <v>1.3949958099999999</v>
      </c>
      <c r="G207" t="str">
        <f>[1]!DNAGetStatus("BBPS.SCADA03.00260409")</f>
        <v>OK</v>
      </c>
    </row>
    <row r="208" spans="1:7">
      <c r="A208" t="s">
        <v>240</v>
      </c>
      <c r="B208" t="s">
        <v>241</v>
      </c>
      <c r="C208" t="str">
        <f>[1]!DNAGetDate("BBPS.SCADA03.00260413")</f>
        <v>05-02-2019</v>
      </c>
      <c r="D208" t="str">
        <f>[1]!DNAGetTime("BBPS.SCADA03.00260413")</f>
        <v>10:09:02</v>
      </c>
      <c r="E208" s="1">
        <v>43587.422939814816</v>
      </c>
      <c r="F208">
        <f>[1]!DNAGetValue("BBPS.SCADA03.00260413")</f>
        <v>1.80961335</v>
      </c>
      <c r="G208" t="str">
        <f>[1]!DNAGetStatus("BBPS.SCADA03.00260413")</f>
        <v>OK</v>
      </c>
    </row>
    <row r="209" spans="1:7">
      <c r="A209" t="s">
        <v>242</v>
      </c>
      <c r="B209" t="s">
        <v>243</v>
      </c>
      <c r="C209" t="str">
        <f>[1]!DNAGetDate("BBPS.SCADA03.00260417")</f>
        <v>05-02-2019</v>
      </c>
      <c r="D209" t="str">
        <f>[1]!DNAGetTime("BBPS.SCADA03.00260417")</f>
        <v>10:09:02</v>
      </c>
      <c r="E209" s="1">
        <v>43587.422939814816</v>
      </c>
      <c r="F209">
        <f>[1]!DNAGetValue("BBPS.SCADA03.00260417")</f>
        <v>0.878860474</v>
      </c>
      <c r="G209" t="str">
        <f>[1]!DNAGetStatus("BBPS.SCADA03.00260417")</f>
        <v>OK</v>
      </c>
    </row>
    <row r="210" spans="1:7">
      <c r="A210" t="s">
        <v>244</v>
      </c>
      <c r="B210" t="s">
        <v>245</v>
      </c>
      <c r="C210" t="str">
        <f>[1]!DNAGetDate("BBPS.SCADA03.00260423")</f>
        <v>05-02-2019</v>
      </c>
      <c r="D210" t="str">
        <f>[1]!DNAGetTime("BBPS.SCADA03.00260423")</f>
        <v>10:09:02</v>
      </c>
      <c r="E210" s="1">
        <v>43587.422939814816</v>
      </c>
      <c r="F210">
        <f>[1]!DNAGetValue("BBPS.SCADA03.00260423")</f>
        <v>2.13125944</v>
      </c>
      <c r="G210" t="str">
        <f>[1]!DNAGetStatus("BBPS.SCADA03.00260423")</f>
        <v>OK</v>
      </c>
    </row>
    <row r="211" spans="1:7">
      <c r="A211" t="s">
        <v>246</v>
      </c>
      <c r="B211" t="s">
        <v>247</v>
      </c>
      <c r="C211" t="str">
        <f>[1]!DNAGetDate("BBPS.SCADA03.00260425")</f>
        <v>05-02-2019</v>
      </c>
      <c r="D211" t="str">
        <f>[1]!DNAGetTime("BBPS.SCADA03.00260425")</f>
        <v>10:09:02</v>
      </c>
      <c r="E211" s="1">
        <v>43587.422939814816</v>
      </c>
      <c r="F211">
        <f>[1]!DNAGetValue("BBPS.SCADA03.00260425")</f>
        <v>1.2895816600000001</v>
      </c>
      <c r="G211" t="str">
        <f>[1]!DNAGetStatus("BBPS.SCADA03.00260425")</f>
        <v>OK</v>
      </c>
    </row>
    <row r="212" spans="1:7">
      <c r="A212" t="s">
        <v>248</v>
      </c>
      <c r="B212" t="s">
        <v>249</v>
      </c>
      <c r="C212" t="str">
        <f>[1]!DNAGetDate("BBPS.SCADA03.00260429")</f>
        <v>05-02-2019</v>
      </c>
      <c r="D212" t="str">
        <f>[1]!DNAGetTime("BBPS.SCADA03.00260429")</f>
        <v>10:09:02</v>
      </c>
      <c r="E212" s="1">
        <v>43587.422939814816</v>
      </c>
      <c r="F212">
        <f>[1]!DNAGetValue("BBPS.SCADA03.00260429")</f>
        <v>1.9774137700000001</v>
      </c>
      <c r="G212" t="str">
        <f>[1]!DNAGetStatus("BBPS.SCADA03.00260429")</f>
        <v>OK</v>
      </c>
    </row>
    <row r="213" spans="1:7">
      <c r="A213" t="s">
        <v>250</v>
      </c>
      <c r="B213" t="s">
        <v>251</v>
      </c>
      <c r="C213" t="str">
        <f>[1]!DNAGetDate("BBPS.SCADA03.00260433")</f>
        <v>05-02-2019</v>
      </c>
      <c r="D213" t="str">
        <f>[1]!DNAGetTime("BBPS.SCADA03.00260433")</f>
        <v>10:09:02</v>
      </c>
      <c r="E213" s="1">
        <v>43587.422939814816</v>
      </c>
      <c r="F213">
        <f>[1]!DNAGetValue("BBPS.SCADA03.00260433")</f>
        <v>2.0649192300000001</v>
      </c>
      <c r="G213" t="str">
        <f>[1]!DNAGetStatus("BBPS.SCADA03.00260433")</f>
        <v>OK</v>
      </c>
    </row>
    <row r="214" spans="1:7">
      <c r="A214" t="s">
        <v>252</v>
      </c>
      <c r="B214" t="s">
        <v>253</v>
      </c>
      <c r="C214" t="str">
        <f>[1]!DNAGetDate("BBPS.SCADA03.00260437")</f>
        <v>05-02-2019</v>
      </c>
      <c r="D214" t="str">
        <f>[1]!DNAGetTime("BBPS.SCADA03.00260437")</f>
        <v>10:09:02</v>
      </c>
      <c r="E214" s="1">
        <v>43587.422939814816</v>
      </c>
      <c r="F214">
        <f>[1]!DNAGetValue("BBPS.SCADA03.00260437")</f>
        <v>1.95095909</v>
      </c>
      <c r="G214" t="str">
        <f>[1]!DNAGetStatus("BBPS.SCADA03.00260437")</f>
        <v>OK</v>
      </c>
    </row>
    <row r="215" spans="1:7">
      <c r="A215" t="s">
        <v>374</v>
      </c>
      <c r="B215" t="s">
        <v>398</v>
      </c>
      <c r="C215" t="str">
        <f>[1]!DNAGetDate("BBPS.SCADA04.00438080")</f>
        <v>05-02-2019</v>
      </c>
      <c r="D215" t="str">
        <f>[1]!DNAGetTime("BBPS.SCADA04.00438080")</f>
        <v>10:09:02</v>
      </c>
      <c r="E215" s="1">
        <v>43587.422939814816</v>
      </c>
      <c r="F215">
        <f>[1]!DNAGetValue("BBPS.SCADA04.00438080")</f>
        <v>13.497602499999999</v>
      </c>
      <c r="G215" t="str">
        <f>[1]!DNAGetStatus("BBPS.SCADA04.00438080")</f>
        <v>OK</v>
      </c>
    </row>
    <row r="216" spans="1:7">
      <c r="A216" t="s">
        <v>254</v>
      </c>
      <c r="B216" t="s">
        <v>255</v>
      </c>
      <c r="C216" t="str">
        <f>[1]!DNAGetDate("BBPS.SCADA03.00189175")</f>
        <v>05-02-2019</v>
      </c>
      <c r="D216" t="str">
        <f>[1]!DNAGetTime("BBPS.SCADA03.00189175")</f>
        <v>08:45:13</v>
      </c>
      <c r="E216" s="1">
        <v>43587.364733796298</v>
      </c>
      <c r="F216">
        <f>[1]!DNAGetValue("BBPS.SCADA03.00189175")</f>
        <v>0.23390027899999999</v>
      </c>
      <c r="G216" t="str">
        <f>[1]!DNAGetStatus("BBPS.SCADA03.00189175")</f>
        <v>SUSPECT</v>
      </c>
    </row>
    <row r="217" spans="1:7">
      <c r="A217" t="s">
        <v>256</v>
      </c>
      <c r="B217" t="s">
        <v>257</v>
      </c>
      <c r="C217" t="str">
        <f>[1]!DNAGetDate("BBPS.SCADA04.00426816")</f>
        <v>05-02-2019</v>
      </c>
      <c r="D217" t="str">
        <f>[1]!DNAGetTime("BBPS.SCADA04.00426816")</f>
        <v>10:09:26</v>
      </c>
      <c r="E217" s="1">
        <v>43587.423217592594</v>
      </c>
      <c r="F217">
        <f>[1]!DNAGetValue("BBPS.SCADA04.00426816")</f>
        <v>3.1029999300000002</v>
      </c>
      <c r="G217" t="str">
        <f>[1]!DNAGetStatus("BBPS.SCADA04.00426816")</f>
        <v>OK</v>
      </c>
    </row>
    <row r="218" spans="1:7">
      <c r="A218" t="s">
        <v>258</v>
      </c>
      <c r="B218" t="s">
        <v>259</v>
      </c>
      <c r="C218" t="str">
        <f>[1]!DNAGetDate("BBPS.SCADA04.00353605")</f>
        <v>04-02-2019</v>
      </c>
      <c r="D218" t="str">
        <f>[1]!DNAGetTime("BBPS.SCADA04.00353605")</f>
        <v>12:45:50</v>
      </c>
      <c r="E218" s="1">
        <v>43557.531828703701</v>
      </c>
      <c r="F218">
        <f>[1]!DNAGetValue("BBPS.SCADA04.00353605")</f>
        <v>0</v>
      </c>
      <c r="G218" t="str">
        <f>[1]!DNAGetStatus("BBPS.SCADA04.00353605")</f>
        <v>OK</v>
      </c>
    </row>
    <row r="219" spans="1:7">
      <c r="A219" t="s">
        <v>260</v>
      </c>
      <c r="B219" t="s">
        <v>261</v>
      </c>
      <c r="C219" t="str">
        <f>[1]!DNAGetDate("BBPS.SCADA04.00353535")</f>
        <v>05-02-2019</v>
      </c>
      <c r="D219" t="str">
        <f>[1]!DNAGetTime("BBPS.SCADA04.00353535")</f>
        <v>10:09:26</v>
      </c>
      <c r="E219" s="1">
        <v>43587.423217592594</v>
      </c>
      <c r="F219">
        <f>[1]!DNAGetValue("BBPS.SCADA04.00353535")</f>
        <v>1.3679419799999999</v>
      </c>
      <c r="G219" t="str">
        <f>[1]!DNAGetStatus("BBPS.SCADA04.00353535")</f>
        <v>OK</v>
      </c>
    </row>
    <row r="220" spans="1:7">
      <c r="A220" t="s">
        <v>262</v>
      </c>
      <c r="B220" t="s">
        <v>263</v>
      </c>
      <c r="C220" t="str">
        <f>[1]!DNAGetDate("BBPS.SCADA04.00353532")</f>
        <v>05-02-2019</v>
      </c>
      <c r="D220" t="str">
        <f>[1]!DNAGetTime("BBPS.SCADA04.00353532")</f>
        <v>10:09:26</v>
      </c>
      <c r="E220" s="1">
        <v>43587.423217592594</v>
      </c>
      <c r="F220">
        <f>[1]!DNAGetValue("BBPS.SCADA04.00353532")</f>
        <v>1.4128675500000001</v>
      </c>
      <c r="G220" t="str">
        <f>[1]!DNAGetStatus("BBPS.SCADA04.00353532")</f>
        <v>OK</v>
      </c>
    </row>
    <row r="221" spans="1:7">
      <c r="A221" t="s">
        <v>264</v>
      </c>
      <c r="B221" t="s">
        <v>265</v>
      </c>
      <c r="C221" t="str">
        <f>[1]!DNAGetDate("BBPS.SCADA03.00259346")</f>
        <v>04-02-2019</v>
      </c>
      <c r="D221" t="str">
        <f>[1]!DNAGetTime("BBPS.SCADA03.00259346")</f>
        <v>16:41:39</v>
      </c>
      <c r="E221" s="1">
        <v>43557.695590277777</v>
      </c>
      <c r="F221">
        <f>[1]!DNAGetValue("BBPS.SCADA03.00259346")</f>
        <v>3.4746100900000001</v>
      </c>
      <c r="G221" t="str">
        <f>[1]!DNAGetStatus("BBPS.SCADA03.00259346")</f>
        <v>SUSPECT</v>
      </c>
    </row>
    <row r="222" spans="1:7">
      <c r="A222" t="s">
        <v>266</v>
      </c>
      <c r="B222" t="s">
        <v>267</v>
      </c>
      <c r="C222" t="str">
        <f>[1]!DNAGetDate("BBPS.SCADA03.00259541")</f>
        <v>04-02-2019</v>
      </c>
      <c r="D222" t="str">
        <f>[1]!DNAGetTime("BBPS.SCADA03.00259541")</f>
        <v>16:41:44</v>
      </c>
      <c r="E222" s="1">
        <v>43557.695648148147</v>
      </c>
      <c r="F222">
        <f>[1]!DNAGetValue("BBPS.SCADA03.00259541")</f>
        <v>3.8947200799999999</v>
      </c>
      <c r="G222" t="str">
        <f>[1]!DNAGetStatus("BBPS.SCADA03.00259541")</f>
        <v>SUSPECT</v>
      </c>
    </row>
    <row r="223" spans="1:7">
      <c r="A223" t="s">
        <v>268</v>
      </c>
      <c r="B223" t="s">
        <v>516</v>
      </c>
      <c r="C223" t="str">
        <f>[1]!DNAGetDate("BBPS.SCADA04.00426795")</f>
        <v>05-02-2019</v>
      </c>
      <c r="D223" t="str">
        <f>[1]!DNAGetTime("BBPS.SCADA04.00426795")</f>
        <v>10:09:16</v>
      </c>
      <c r="E223" s="1">
        <v>43587.423101851855</v>
      </c>
      <c r="F223">
        <f>[1]!DNAGetValue("BBPS.SCADA04.00426795")</f>
        <v>1.9919999799999999</v>
      </c>
      <c r="G223" t="str">
        <f>[1]!DNAGetStatus("BBPS.SCADA04.00426795")</f>
        <v>OK</v>
      </c>
    </row>
    <row r="224" spans="1:7">
      <c r="A224" t="s">
        <v>269</v>
      </c>
      <c r="B224" t="s">
        <v>416</v>
      </c>
      <c r="C224" t="str">
        <f>[1]!DNAGetDate("BBPS.SCADA04.00353629")</f>
        <v>05-02-2019</v>
      </c>
      <c r="D224" t="str">
        <f>[1]!DNAGetTime("BBPS.SCADA04.00353629")</f>
        <v>10:09:30</v>
      </c>
      <c r="E224" s="1">
        <v>43587.423263888886</v>
      </c>
      <c r="F224">
        <f>[1]!DNAGetValue("BBPS.SCADA04.00353629")</f>
        <v>6.89133453</v>
      </c>
      <c r="G224" t="str">
        <f>[1]!DNAGetStatus("BBPS.SCADA04.00353629")</f>
        <v>OK</v>
      </c>
    </row>
    <row r="225" spans="1:7">
      <c r="A225" t="s">
        <v>270</v>
      </c>
      <c r="B225" t="s">
        <v>271</v>
      </c>
      <c r="C225" t="str">
        <f>[1]!DNAGetDate("BBPS.SCADA04.00426643")</f>
        <v>05-02-2019</v>
      </c>
      <c r="D225" t="str">
        <f>[1]!DNAGetTime("BBPS.SCADA04.00426643")</f>
        <v>09:47:15</v>
      </c>
      <c r="E225" s="1">
        <v>43587.407812500001</v>
      </c>
      <c r="F225">
        <f>[1]!DNAGetValue("BBPS.SCADA04.00426643")</f>
        <v>5.6107358899999999</v>
      </c>
      <c r="G225" t="str">
        <f>[1]!DNAGetStatus("BBPS.SCADA04.00426643")</f>
        <v>SUSPECT</v>
      </c>
    </row>
    <row r="226" spans="1:7">
      <c r="A226" t="s">
        <v>272</v>
      </c>
      <c r="B226" t="s">
        <v>273</v>
      </c>
      <c r="C226" t="str">
        <f>[1]!DNAGetDate("BBPS.SCADA04.00426709")</f>
        <v>05-02-2019</v>
      </c>
      <c r="D226" t="str">
        <f>[1]!DNAGetTime("BBPS.SCADA04.00426709")</f>
        <v>10:09:28</v>
      </c>
      <c r="E226" s="1">
        <v>43587.42324074074</v>
      </c>
      <c r="F226">
        <f>[1]!DNAGetValue("BBPS.SCADA04.00426709")</f>
        <v>8.5497808499999994</v>
      </c>
      <c r="G226" t="str">
        <f>[1]!DNAGetStatus("BBPS.SCADA04.00426709")</f>
        <v>OK</v>
      </c>
    </row>
    <row r="227" spans="1:7">
      <c r="A227" t="s">
        <v>274</v>
      </c>
      <c r="B227" t="s">
        <v>275</v>
      </c>
      <c r="C227" t="str">
        <f>[1]!DNAGetDate("BBPS.SCADA04.00426874")</f>
        <v>05-02-2019</v>
      </c>
      <c r="D227" t="str">
        <f>[1]!DNAGetTime("BBPS.SCADA04.00426874")</f>
        <v>10:08:33</v>
      </c>
      <c r="E227" s="1">
        <v>43587.42260416667</v>
      </c>
      <c r="F227">
        <f>[1]!DNAGetValue("BBPS.SCADA04.00426874")</f>
        <v>0.60060000400000002</v>
      </c>
      <c r="G227" t="str">
        <f>[1]!DNAGetStatus("BBPS.SCADA04.00426874")</f>
        <v>OK</v>
      </c>
    </row>
    <row r="228" spans="1:7">
      <c r="A228" t="s">
        <v>276</v>
      </c>
      <c r="B228" t="s">
        <v>277</v>
      </c>
      <c r="C228" t="str">
        <f>[1]!DNAGetDate("BBPS.SCADA04.00426833")</f>
        <v>05-02-2019</v>
      </c>
      <c r="D228" t="str">
        <f>[1]!DNAGetTime("BBPS.SCADA04.00426833")</f>
        <v>10:09:06</v>
      </c>
      <c r="E228" s="1">
        <v>43587.422986111109</v>
      </c>
      <c r="F228">
        <f>[1]!DNAGetValue("BBPS.SCADA04.00426833")</f>
        <v>1.9724432199999999</v>
      </c>
      <c r="G228" t="str">
        <f>[1]!DNAGetStatus("BBPS.SCADA04.00426833")</f>
        <v>OK</v>
      </c>
    </row>
    <row r="229" spans="1:7">
      <c r="A229" t="s">
        <v>278</v>
      </c>
      <c r="B229" t="s">
        <v>279</v>
      </c>
      <c r="C229" t="str">
        <f>[1]!DNAGetDate("BBPS.SCADA04.00426860")</f>
        <v>01-02-2019</v>
      </c>
      <c r="D229" t="str">
        <f>[1]!DNAGetTime("BBPS.SCADA04.00426860")</f>
        <v>17:02:40</v>
      </c>
      <c r="E229" s="1">
        <v>43467.710185185184</v>
      </c>
      <c r="F229">
        <f>[1]!DNAGetValue("BBPS.SCADA04.00426860")</f>
        <v>0</v>
      </c>
      <c r="G229" t="str">
        <f>[1]!DNAGetStatus("BBPS.SCADA04.00426860")</f>
        <v>OK</v>
      </c>
    </row>
    <row r="230" spans="1:7">
      <c r="A230" t="s">
        <v>414</v>
      </c>
      <c r="B230" t="s">
        <v>399</v>
      </c>
      <c r="C230" t="str">
        <f>[1]!DNAGetDate("BBPS.SCADA04.00353620")</f>
        <v>05-02-2019</v>
      </c>
      <c r="D230" t="str">
        <f>[1]!DNAGetTime("BBPS.SCADA04.00353620")</f>
        <v>10:09:18</v>
      </c>
      <c r="E230" s="1">
        <v>43587.423125000001</v>
      </c>
      <c r="F230">
        <f>[1]!DNAGetValue("BBPS.SCADA04.00353620")</f>
        <v>0.77999997099999996</v>
      </c>
      <c r="G230" t="str">
        <f>[1]!DNAGetStatus("BBPS.SCADA04.00353620")</f>
        <v>OK</v>
      </c>
    </row>
    <row r="231" spans="1:7">
      <c r="A231" t="s">
        <v>415</v>
      </c>
      <c r="B231" t="s">
        <v>400</v>
      </c>
      <c r="C231" t="str">
        <f>[1]!DNAGetDate("BBPS.SCADA04.00353613")</f>
        <v>05-02-2019</v>
      </c>
      <c r="D231" t="str">
        <f>[1]!DNAGetTime("BBPS.SCADA04.00353613")</f>
        <v>10:09:18</v>
      </c>
      <c r="E231" s="1">
        <v>43587.423125000001</v>
      </c>
      <c r="F231">
        <f>[1]!DNAGetValue("BBPS.SCADA04.00353613")</f>
        <v>0.79699999099999996</v>
      </c>
      <c r="G231" t="str">
        <f>[1]!DNAGetStatus("BBPS.SCADA04.00353613")</f>
        <v>OK</v>
      </c>
    </row>
    <row r="232" spans="1:7">
      <c r="A232" t="s">
        <v>487</v>
      </c>
      <c r="B232" t="s">
        <v>461</v>
      </c>
      <c r="C232" t="str">
        <f>[1]!DNAGetDate("BBPS.SCADA04.00017211")</f>
        <v>05-02-2019</v>
      </c>
      <c r="D232" t="str">
        <f>[1]!DNAGetTime("BBPS.SCADA04.00017211")</f>
        <v>10:09:05</v>
      </c>
      <c r="E232" s="1">
        <v>43587.422974537039</v>
      </c>
      <c r="F232">
        <f>[1]!DNAGetValue("BBPS.SCADA04.00017211")</f>
        <v>0.157000005</v>
      </c>
      <c r="G232" t="str">
        <f>[1]!DNAGetStatus("BBPS.SCADA04.00017211")</f>
        <v>OK</v>
      </c>
    </row>
    <row r="233" spans="1:7">
      <c r="A233" t="s">
        <v>488</v>
      </c>
      <c r="B233" t="s">
        <v>462</v>
      </c>
      <c r="C233" t="str">
        <f>[1]!DNAGetDate("BBPS.SCADA04.00017015")</f>
        <v>05-02-2019</v>
      </c>
      <c r="D233" t="str">
        <f>[1]!DNAGetTime("BBPS.SCADA04.00017015")</f>
        <v>10:09:19</v>
      </c>
      <c r="E233" s="1">
        <v>43587.423136574071</v>
      </c>
      <c r="F233">
        <f>[1]!DNAGetValue("BBPS.SCADA04.00017015")</f>
        <v>0.13232633499999999</v>
      </c>
      <c r="G233" t="str">
        <f>[1]!DNAGetStatus("BBPS.SCADA04.00017015")</f>
        <v>OK</v>
      </c>
    </row>
    <row r="234" spans="1:7">
      <c r="A234" t="s">
        <v>489</v>
      </c>
      <c r="B234" t="s">
        <v>463</v>
      </c>
      <c r="C234" t="str">
        <f>[1]!DNAGetDate("BBPS.SCADA04.00017024")</f>
        <v>05-02-2019</v>
      </c>
      <c r="D234" t="str">
        <f>[1]!DNAGetTime("BBPS.SCADA04.00017024")</f>
        <v>10:09:19</v>
      </c>
      <c r="E234" s="1">
        <v>43587.423136574071</v>
      </c>
      <c r="F234">
        <f>[1]!DNAGetValue("BBPS.SCADA04.00017024")</f>
        <v>0.13173939300000001</v>
      </c>
      <c r="G234" t="str">
        <f>[1]!DNAGetStatus("BBPS.SCADA04.00017024")</f>
        <v>OK</v>
      </c>
    </row>
    <row r="235" spans="1:7">
      <c r="A235" t="s">
        <v>490</v>
      </c>
      <c r="B235" t="s">
        <v>464</v>
      </c>
      <c r="C235" t="str">
        <f>[1]!DNAGetDate("BBPS.SCADA04.00353477")</f>
        <v>05-02-2019</v>
      </c>
      <c r="D235" t="str">
        <f>[1]!DNAGetTime("BBPS.SCADA04.00353477")</f>
        <v>10:09:30</v>
      </c>
      <c r="E235" s="1">
        <v>43587.423263888886</v>
      </c>
      <c r="F235">
        <f>[1]!DNAGetValue("BBPS.SCADA04.00353477")</f>
        <v>8.9308814999999999</v>
      </c>
      <c r="G235" t="str">
        <f>[1]!DNAGetStatus("BBPS.SCADA04.00353477")</f>
        <v>OK</v>
      </c>
    </row>
    <row r="236" spans="1:7">
      <c r="A236" t="s">
        <v>491</v>
      </c>
      <c r="B236" t="s">
        <v>465</v>
      </c>
      <c r="C236" t="str">
        <f>[1]!DNAGetDate("BBPS.SCADA04.00017065")</f>
        <v>05-02-2019</v>
      </c>
      <c r="D236" t="str">
        <f>[1]!DNAGetTime("BBPS.SCADA04.00017065")</f>
        <v>09:28:33</v>
      </c>
      <c r="E236" s="1">
        <v>43587.394826388889</v>
      </c>
      <c r="F236">
        <f>[1]!DNAGetValue("BBPS.SCADA04.00017065")</f>
        <v>1.03600001</v>
      </c>
      <c r="G236" t="str">
        <f>[1]!DNAGetStatus("BBPS.SCADA04.00017065")</f>
        <v>OK</v>
      </c>
    </row>
    <row r="237" spans="1:7">
      <c r="A237" t="s">
        <v>505</v>
      </c>
      <c r="B237" t="s">
        <v>466</v>
      </c>
      <c r="C237" t="str">
        <f>[1]!DNAGetDate("BBPS.SCADA04.00019123")</f>
        <v>05-02-2019</v>
      </c>
      <c r="D237" t="str">
        <f>[1]!DNAGetTime("BBPS.SCADA04.00019123")</f>
        <v>10:06:44</v>
      </c>
      <c r="E237" s="1">
        <v>43587.421342592592</v>
      </c>
      <c r="F237">
        <f>[1]!DNAGetValue("BBPS.SCADA04.00019123")</f>
        <v>3.20000015E-2</v>
      </c>
      <c r="G237" t="str">
        <f>[1]!DNAGetStatus("BBPS.SCADA04.00019123")</f>
        <v>OK</v>
      </c>
    </row>
    <row r="238" spans="1:7">
      <c r="A238" t="s">
        <v>492</v>
      </c>
      <c r="B238" t="s">
        <v>467</v>
      </c>
      <c r="C238" t="str">
        <f>[1]!DNAGetDate("BBPS.SCADA04.00019116")</f>
        <v>05-02-2019</v>
      </c>
      <c r="D238" t="str">
        <f>[1]!DNAGetTime("BBPS.SCADA04.00019116")</f>
        <v>10:09:06</v>
      </c>
      <c r="E238" s="1">
        <v>43587.422986111109</v>
      </c>
      <c r="F238">
        <f>[1]!DNAGetValue("BBPS.SCADA04.00019116")</f>
        <v>0.11900000299999999</v>
      </c>
      <c r="G238" t="str">
        <f>[1]!DNAGetStatus("BBPS.SCADA04.00019116")</f>
        <v>OK</v>
      </c>
    </row>
    <row r="239" spans="1:7">
      <c r="A239" t="s">
        <v>493</v>
      </c>
      <c r="B239" t="s">
        <v>468</v>
      </c>
      <c r="C239" t="str">
        <f>[1]!DNAGetDate("BBPS.SCADA04.00019102")</f>
        <v>05-02-2019</v>
      </c>
      <c r="D239" t="str">
        <f>[1]!DNAGetTime("BBPS.SCADA04.00019102")</f>
        <v>10:09:19</v>
      </c>
      <c r="E239" s="1">
        <v>43587.423136574071</v>
      </c>
      <c r="F239">
        <f>[1]!DNAGetValue("BBPS.SCADA04.00019102")</f>
        <v>0.47299998999999998</v>
      </c>
      <c r="G239" t="str">
        <f>[1]!DNAGetStatus("BBPS.SCADA04.00019102")</f>
        <v>OK</v>
      </c>
    </row>
    <row r="240" spans="1:7">
      <c r="A240" t="s">
        <v>494</v>
      </c>
      <c r="B240" t="s">
        <v>469</v>
      </c>
      <c r="C240" t="str">
        <f>[1]!DNAGetDate("BBPS.SCADA04.00019137")</f>
        <v>04-02-2019</v>
      </c>
      <c r="D240" t="str">
        <f>[1]!DNAGetTime("BBPS.SCADA04.00019137")</f>
        <v>16:46:13</v>
      </c>
      <c r="E240" s="1">
        <v>43557.698761574073</v>
      </c>
      <c r="F240">
        <f>[1]!DNAGetValue("BBPS.SCADA04.00019137")</f>
        <v>3.9999999100000003E-2</v>
      </c>
      <c r="G240" t="str">
        <f>[1]!DNAGetStatus("BBPS.SCADA04.00019137")</f>
        <v>OK</v>
      </c>
    </row>
    <row r="241" spans="1:7">
      <c r="A241" t="s">
        <v>506</v>
      </c>
      <c r="B241" t="s">
        <v>470</v>
      </c>
      <c r="C241" t="str">
        <f>[1]!DNAGetDate("BBPS.SCADA04.00019130")</f>
        <v>05-02-2019</v>
      </c>
      <c r="D241" t="str">
        <f>[1]!DNAGetTime("BBPS.SCADA04.00019130")</f>
        <v>10:09:18</v>
      </c>
      <c r="E241" s="1">
        <v>43587.423125000001</v>
      </c>
      <c r="F241">
        <f>[1]!DNAGetValue("BBPS.SCADA04.00019130")</f>
        <v>7.9000003599999993E-2</v>
      </c>
      <c r="G241" t="str">
        <f>[1]!DNAGetStatus("BBPS.SCADA04.00019130")</f>
        <v>OK</v>
      </c>
    </row>
    <row r="242" spans="1:7">
      <c r="A242" t="s">
        <v>495</v>
      </c>
      <c r="B242" t="s">
        <v>471</v>
      </c>
      <c r="C242" t="str">
        <f>[1]!DNAGetDate("BBPS.SCADA04.00019109")</f>
        <v>05-02-2019</v>
      </c>
      <c r="D242" t="str">
        <f>[1]!DNAGetTime("BBPS.SCADA04.00019109")</f>
        <v>10:09:05</v>
      </c>
      <c r="E242" s="1">
        <v>43587.422974537039</v>
      </c>
      <c r="F242">
        <f>[1]!DNAGetValue("BBPS.SCADA04.00019109")</f>
        <v>0.16099999800000001</v>
      </c>
      <c r="G242" t="str">
        <f>[1]!DNAGetStatus("BBPS.SCADA04.00019109")</f>
        <v>OK</v>
      </c>
    </row>
    <row r="243" spans="1:7">
      <c r="A243" t="s">
        <v>496</v>
      </c>
      <c r="B243" t="s">
        <v>472</v>
      </c>
      <c r="C243" t="str">
        <f>[1]!DNAGetDate("BBPS.SCADA04.00019088")</f>
        <v>05-02-2019</v>
      </c>
      <c r="D243" t="str">
        <f>[1]!DNAGetTime("BBPS.SCADA04.00019088")</f>
        <v>10:09:18</v>
      </c>
      <c r="E243" s="1">
        <v>43587.423125000001</v>
      </c>
      <c r="F243">
        <f>[1]!DNAGetValue("BBPS.SCADA04.00019088")</f>
        <v>0.219999999</v>
      </c>
      <c r="G243" t="str">
        <f>[1]!DNAGetStatus("BBPS.SCADA04.00019088")</f>
        <v>OK</v>
      </c>
    </row>
    <row r="244" spans="1:7">
      <c r="A244" t="s">
        <v>497</v>
      </c>
      <c r="B244" t="s">
        <v>473</v>
      </c>
      <c r="C244" t="str">
        <f>[1]!DNAGetDate("BBPS.SCADA04.00019095")</f>
        <v>05-02-2019</v>
      </c>
      <c r="D244" t="str">
        <f>[1]!DNAGetTime("BBPS.SCADA04.00019095")</f>
        <v>10:08:02</v>
      </c>
      <c r="E244" s="1">
        <v>43587.42224537037</v>
      </c>
      <c r="F244">
        <f>[1]!DNAGetValue("BBPS.SCADA04.00019095")</f>
        <v>0.16699999600000001</v>
      </c>
      <c r="G244" t="str">
        <f>[1]!DNAGetStatus("BBPS.SCADA04.00019095")</f>
        <v>OK</v>
      </c>
    </row>
    <row r="245" spans="1:7">
      <c r="A245" t="s">
        <v>507</v>
      </c>
      <c r="B245" t="s">
        <v>474</v>
      </c>
      <c r="C245" t="str">
        <f>[1]!DNAGetDate("BBPS.SCADA04.00019144")</f>
        <v>05-02-2019</v>
      </c>
      <c r="D245" t="str">
        <f>[1]!DNAGetTime("BBPS.SCADA04.00019144")</f>
        <v>10:09:20</v>
      </c>
      <c r="E245" s="1">
        <v>43587.423148148147</v>
      </c>
      <c r="F245">
        <f>[1]!DNAGetValue("BBPS.SCADA04.00019144")</f>
        <v>0.155000001</v>
      </c>
      <c r="G245" t="str">
        <f>[1]!DNAGetStatus("BBPS.SCADA04.00019144")</f>
        <v>OK</v>
      </c>
    </row>
    <row r="246" spans="1:7">
      <c r="A246" t="s">
        <v>498</v>
      </c>
      <c r="B246" t="s">
        <v>475</v>
      </c>
      <c r="C246" t="str">
        <f>[1]!DNAGetDate("BBPS.SCADA04.00017001")</f>
        <v>05-02-2019</v>
      </c>
      <c r="D246" t="str">
        <f>[1]!DNAGetTime("BBPS.SCADA04.00017001")</f>
        <v>10:09:04</v>
      </c>
      <c r="E246" s="1">
        <v>43587.422962962963</v>
      </c>
      <c r="F246">
        <f>[1]!DNAGetValue("BBPS.SCADA04.00017001")</f>
        <v>0.43840000000000001</v>
      </c>
      <c r="G246" t="str">
        <f>[1]!DNAGetStatus("BBPS.SCADA04.00017001")</f>
        <v>OK</v>
      </c>
    </row>
    <row r="247" spans="1:7">
      <c r="A247" t="s">
        <v>508</v>
      </c>
      <c r="B247" t="s">
        <v>476</v>
      </c>
      <c r="C247" t="str">
        <f>[1]!DNAGetDate("BBPS.SCADA03.00259091")</f>
        <v>04-02-2019</v>
      </c>
      <c r="D247" t="str">
        <f>[1]!DNAGetTime("BBPS.SCADA03.00259091")</f>
        <v>16:41:42</v>
      </c>
      <c r="E247" s="1">
        <v>43557.695625</v>
      </c>
      <c r="F247">
        <f>[1]!DNAGetValue("BBPS.SCADA03.00259091")</f>
        <v>7.6000004999999995E-2</v>
      </c>
      <c r="G247" t="str">
        <f>[1]!DNAGetStatus("BBPS.SCADA03.00259091")</f>
        <v>SUSPECT</v>
      </c>
    </row>
    <row r="248" spans="1:7">
      <c r="A248" t="s">
        <v>509</v>
      </c>
      <c r="B248" t="s">
        <v>477</v>
      </c>
      <c r="C248" t="str">
        <f>[1]!DNAGetDate("BBPS.SCADA03.00259096")</f>
        <v>04-02-2019</v>
      </c>
      <c r="D248" t="str">
        <f>[1]!DNAGetTime("BBPS.SCADA03.00259096")</f>
        <v>16:41:42</v>
      </c>
      <c r="E248" s="1">
        <v>43557.695625</v>
      </c>
      <c r="F248">
        <f>[1]!DNAGetValue("BBPS.SCADA03.00259096")</f>
        <v>9.1000005600000003E-2</v>
      </c>
      <c r="G248" t="str">
        <f>[1]!DNAGetStatus("BBPS.SCADA03.00259096")</f>
        <v>SUSPECT</v>
      </c>
    </row>
    <row r="249" spans="1:7">
      <c r="A249" t="s">
        <v>512</v>
      </c>
      <c r="B249" t="s">
        <v>478</v>
      </c>
      <c r="C249" t="str">
        <f>[1]!DNAGetDate("BBPS.SCADA04.00017029")</f>
        <v>04-02-2019</v>
      </c>
      <c r="D249" t="str">
        <f>[1]!DNAGetTime("BBPS.SCADA04.00017029")</f>
        <v>16:41:43</v>
      </c>
      <c r="E249" s="1">
        <v>43557.695636574077</v>
      </c>
      <c r="F249">
        <f>[1]!DNAGetValue("BBPS.SCADA04.00017029")</f>
        <v>0.167000011</v>
      </c>
      <c r="G249" t="str">
        <f>[1]!DNAGetStatus("BBPS.SCADA04.00017029")</f>
        <v>SUSPECT</v>
      </c>
    </row>
    <row r="250" spans="1:7">
      <c r="A250" t="s">
        <v>510</v>
      </c>
      <c r="B250" t="s">
        <v>479</v>
      </c>
      <c r="C250" t="str">
        <f>[1]!DNAGetDate("BBPS.SCADA03.00259125")</f>
        <v>04-02-2019</v>
      </c>
      <c r="D250" t="str">
        <f>[1]!DNAGetTime("BBPS.SCADA03.00259125")</f>
        <v>16:42:01</v>
      </c>
      <c r="E250" s="1">
        <v>43557.695844907408</v>
      </c>
      <c r="F250">
        <f>[1]!DNAGetValue("BBPS.SCADA03.00259125")</f>
        <v>0.17400001000000001</v>
      </c>
      <c r="G250" t="str">
        <f>[1]!DNAGetStatus("BBPS.SCADA03.00259125")</f>
        <v>SUSPECT</v>
      </c>
    </row>
    <row r="251" spans="1:7">
      <c r="A251" t="s">
        <v>511</v>
      </c>
      <c r="B251" t="s">
        <v>480</v>
      </c>
      <c r="C251" t="str">
        <f>[1]!DNAGetDate("BBPS.SCADA03.00259117")</f>
        <v>04-02-2019</v>
      </c>
      <c r="D251" t="str">
        <f>[1]!DNAGetTime("BBPS.SCADA03.00259117")</f>
        <v>16:42:01</v>
      </c>
      <c r="E251" s="1">
        <v>43557.695844907408</v>
      </c>
      <c r="F251">
        <f>[1]!DNAGetValue("BBPS.SCADA03.00259117")</f>
        <v>0.15100000799999999</v>
      </c>
      <c r="G251" t="str">
        <f>[1]!DNAGetStatus("BBPS.SCADA03.00259117")</f>
        <v>SUSPECT</v>
      </c>
    </row>
    <row r="252" spans="1:7">
      <c r="A252" t="s">
        <v>499</v>
      </c>
      <c r="B252" t="s">
        <v>481</v>
      </c>
      <c r="C252" t="str">
        <f>[1]!DNAGetDate("BBPS.SCADA04.00017030")</f>
        <v>04-02-2019</v>
      </c>
      <c r="D252" t="str">
        <f>[1]!DNAGetTime("BBPS.SCADA04.00017030")</f>
        <v>16:42:01</v>
      </c>
      <c r="E252" s="1">
        <v>43557.695844907408</v>
      </c>
      <c r="F252">
        <f>[1]!DNAGetValue("BBPS.SCADA04.00017030")</f>
        <v>0.325000018</v>
      </c>
      <c r="G252" t="str">
        <f>[1]!DNAGetStatus("BBPS.SCADA04.00017030")</f>
        <v>SUSPECT</v>
      </c>
    </row>
    <row r="253" spans="1:7">
      <c r="A253" t="s">
        <v>500</v>
      </c>
      <c r="B253" t="s">
        <v>482</v>
      </c>
      <c r="C253" t="str">
        <f>[1]!DNAGetDate("BBPS.SCADA04.00442596")</f>
        <v>05-02-2019</v>
      </c>
      <c r="D253" t="str">
        <f>[1]!DNAGetTime("BBPS.SCADA04.00442596")</f>
        <v>10:08:15</v>
      </c>
      <c r="E253" s="1">
        <v>43587.422395833331</v>
      </c>
      <c r="F253">
        <f>[1]!DNAGetValue("BBPS.SCADA04.00442596")</f>
        <v>0.869999945</v>
      </c>
      <c r="G253" t="str">
        <f>[1]!DNAGetStatus("BBPS.SCADA04.00442596")</f>
        <v>OK</v>
      </c>
    </row>
    <row r="254" spans="1:7">
      <c r="A254" t="s">
        <v>501</v>
      </c>
      <c r="B254" t="s">
        <v>483</v>
      </c>
      <c r="C254" t="str">
        <f>[1]!DNAGetDate("BBPS.SCADA04.00017033")</f>
        <v>05-02-2019</v>
      </c>
      <c r="D254" t="str">
        <f>[1]!DNAGetTime("BBPS.SCADA04.00017033")</f>
        <v>10:09:06</v>
      </c>
      <c r="E254" s="1">
        <v>43587.422986111109</v>
      </c>
      <c r="F254">
        <f>[1]!DNAGetValue("BBPS.SCADA04.00017033")</f>
        <v>3.3851699800000001</v>
      </c>
      <c r="G254" t="str">
        <f>[1]!DNAGetStatus("BBPS.SCADA04.00017033")</f>
        <v>OK</v>
      </c>
    </row>
    <row r="255" spans="1:7">
      <c r="A255" t="s">
        <v>502</v>
      </c>
      <c r="B255" t="s">
        <v>484</v>
      </c>
      <c r="C255" t="str">
        <f>[1]!DNAGetDate("BBPS.SCADA04.00017090")</f>
        <v>05-02-2019</v>
      </c>
      <c r="D255" t="str">
        <f>[1]!DNAGetTime("BBPS.SCADA04.00017090")</f>
        <v>10:09:06</v>
      </c>
      <c r="E255" s="1">
        <v>43587.422986111109</v>
      </c>
      <c r="F255">
        <f>[1]!DNAGetValue("BBPS.SCADA04.00017090")</f>
        <v>1.31700003</v>
      </c>
      <c r="G255" t="str">
        <f>[1]!DNAGetStatus("BBPS.SCADA04.00017090")</f>
        <v>OK</v>
      </c>
    </row>
    <row r="256" spans="1:7">
      <c r="A256" t="s">
        <v>503</v>
      </c>
      <c r="B256" t="s">
        <v>485</v>
      </c>
      <c r="C256" t="str">
        <f>[1]!DNAGetDate("BBPS.SCADA04.00017122")</f>
        <v>05-02-2019</v>
      </c>
      <c r="D256" t="str">
        <f>[1]!DNAGetTime("BBPS.SCADA04.00017122")</f>
        <v>10:09:05</v>
      </c>
      <c r="E256" s="1">
        <v>43587.422974537039</v>
      </c>
      <c r="F256">
        <f>[1]!DNAGetValue("BBPS.SCADA04.00017122")</f>
        <v>0.93599999</v>
      </c>
      <c r="G256" t="str">
        <f>[1]!DNAGetStatus("BBPS.SCADA04.00017122")</f>
        <v>OK</v>
      </c>
    </row>
    <row r="257" spans="1:7">
      <c r="A257" t="s">
        <v>504</v>
      </c>
      <c r="B257" t="s">
        <v>486</v>
      </c>
      <c r="C257" t="str">
        <f>[1]!DNAGetDate("BBPS.SCADA04.00017008")</f>
        <v>05-02-2019</v>
      </c>
      <c r="D257" t="str">
        <f>[1]!DNAGetTime("BBPS.SCADA04.00017008")</f>
        <v>10:09:19</v>
      </c>
      <c r="E257" s="1">
        <v>43587.423136574071</v>
      </c>
      <c r="F257">
        <f>[1]!DNAGetValue("BBPS.SCADA04.00017008")</f>
        <v>0.187000006</v>
      </c>
      <c r="G257" t="str">
        <f>[1]!DNAGetStatus("BBPS.SCADA04.00017008")</f>
        <v>OK</v>
      </c>
    </row>
    <row r="258" spans="1:7">
      <c r="A258" t="s">
        <v>519</v>
      </c>
      <c r="B258" t="s">
        <v>530</v>
      </c>
      <c r="C258" t="str">
        <f>[1]!DNAGetDate("BBPS.SCADA04.00017207")</f>
        <v>05-02-2019</v>
      </c>
      <c r="D258" t="str">
        <f>[1]!DNAGetTime("BBPS.SCADA04.00017207")</f>
        <v>10:09:19</v>
      </c>
      <c r="E258" s="1">
        <v>43587.423136574071</v>
      </c>
      <c r="F258">
        <f>[1]!DNAGetValue("BBPS.SCADA04.00017207")</f>
        <v>504610.96899999998</v>
      </c>
      <c r="G258" t="str">
        <f>[1]!DNAGetStatus("BBPS.SCADA04.00017207")</f>
        <v>OK</v>
      </c>
    </row>
    <row r="259" spans="1:7">
      <c r="A259" t="s">
        <v>520</v>
      </c>
      <c r="B259" t="s">
        <v>526</v>
      </c>
      <c r="C259" t="str">
        <f>[1]!DNAGetDate("BBPS.SCADA04.00017249")</f>
        <v>05-02-2019</v>
      </c>
      <c r="D259" t="str">
        <f>[1]!DNAGetTime("BBPS.SCADA04.00017249")</f>
        <v>10:08:34</v>
      </c>
      <c r="E259" s="1">
        <v>43587.422615740739</v>
      </c>
      <c r="F259">
        <f>[1]!DNAGetValue("BBPS.SCADA04.00017249")</f>
        <v>167.996994</v>
      </c>
      <c r="G259" t="str">
        <f>[1]!DNAGetStatus("BBPS.SCADA04.00017249")</f>
        <v>OK</v>
      </c>
    </row>
    <row r="260" spans="1:7">
      <c r="A260" t="s">
        <v>521</v>
      </c>
      <c r="B260" t="s">
        <v>527</v>
      </c>
      <c r="C260" t="str">
        <f>[1]!DNAGetDate("BBPS.SCADA04.00017251")</f>
        <v>05-02-2019</v>
      </c>
      <c r="D260" t="str">
        <f>[1]!DNAGetTime("BBPS.SCADA04.00017251")</f>
        <v>10:09:19</v>
      </c>
      <c r="E260" s="1">
        <v>43587.423136574071</v>
      </c>
      <c r="F260">
        <f>[1]!DNAGetValue("BBPS.SCADA04.00017251")</f>
        <v>172.425781</v>
      </c>
      <c r="G260" t="str">
        <f>[1]!DNAGetStatus("BBPS.SCADA04.00017251")</f>
        <v>OK</v>
      </c>
    </row>
    <row r="261" spans="1:7">
      <c r="A261" t="s">
        <v>522</v>
      </c>
      <c r="B261" t="s">
        <v>528</v>
      </c>
      <c r="C261" t="str">
        <f>[1]!DNAGetDate("BBPS.SCADA04.00017237")</f>
        <v>05-02-2019</v>
      </c>
      <c r="D261" t="str">
        <f>[1]!DNAGetTime("BBPS.SCADA04.00017237")</f>
        <v>09:23:52</v>
      </c>
      <c r="E261" s="1">
        <v>43587.391574074078</v>
      </c>
      <c r="F261">
        <f>[1]!DNAGetValue("BBPS.SCADA04.00017237")</f>
        <v>-1022300</v>
      </c>
      <c r="G261" t="str">
        <f>[1]!DNAGetStatus("BBPS.SCADA04.00017237")</f>
        <v>OK</v>
      </c>
    </row>
    <row r="262" spans="1:7">
      <c r="A262" t="s">
        <v>523</v>
      </c>
      <c r="B262" t="s">
        <v>525</v>
      </c>
      <c r="C262" t="str">
        <f>[1]!DNAGetDate("BBPS.SCADA04.00017186")</f>
        <v>05-02-2019</v>
      </c>
      <c r="D262" t="str">
        <f>[1]!DNAGetTime("BBPS.SCADA04.00017186")</f>
        <v>10:07:13</v>
      </c>
      <c r="E262" s="1">
        <v>43587.421678240738</v>
      </c>
      <c r="F262">
        <f>[1]!DNAGetValue("BBPS.SCADA04.00017186")</f>
        <v>2065100</v>
      </c>
      <c r="G262" t="str">
        <f>[1]!DNAGetStatus("BBPS.SCADA04.00017186")</f>
        <v>OK</v>
      </c>
    </row>
    <row r="263" spans="1:7">
      <c r="A263" t="s">
        <v>524</v>
      </c>
      <c r="B263" t="s">
        <v>529</v>
      </c>
      <c r="C263" t="str">
        <f>[1]!DNAGetDate("BBPS.SCADA04.00017268")</f>
        <v>05-02-2019</v>
      </c>
      <c r="D263" t="str">
        <f>[1]!DNAGetTime("BBPS.SCADA04.00017268")</f>
        <v>10:09:19</v>
      </c>
      <c r="E263" s="1">
        <v>43587.423136574071</v>
      </c>
      <c r="F263">
        <f>[1]!DNAGetValue("BBPS.SCADA04.00017268")</f>
        <v>6262798.5</v>
      </c>
      <c r="G263" t="str">
        <f>[1]!DNAGetStatus("BBPS.SCADA04.00017268")</f>
        <v>OK</v>
      </c>
    </row>
    <row r="264" spans="1:7">
      <c r="E264" t="s">
        <v>531</v>
      </c>
    </row>
    <row r="601" spans="1:7">
      <c r="A601" t="s">
        <v>417</v>
      </c>
      <c r="B601" t="s">
        <v>439</v>
      </c>
      <c r="C601" t="str">
        <f>[1]!DNAGetDate("BBPS.SCADA01.00110820")</f>
        <v>05-02-2019</v>
      </c>
      <c r="D601" t="str">
        <f>[1]!DNAGetTime("BBPS.SCADA01.00110820")</f>
        <v>10:07:12</v>
      </c>
      <c r="E601" s="1">
        <v>43587.421666666669</v>
      </c>
      <c r="F601">
        <f>[1]!DNAGetValue("BBPS.SCADA01.00110820")</f>
        <v>73.629211400000003</v>
      </c>
      <c r="G601" t="str">
        <f>[1]!DNAGetStatus("BBPS.SCADA01.00110820")</f>
        <v>OK</v>
      </c>
    </row>
    <row r="602" spans="1:7">
      <c r="A602" t="s">
        <v>418</v>
      </c>
      <c r="B602" t="s">
        <v>440</v>
      </c>
      <c r="C602" t="str">
        <f>[1]!DNAGetDate("BBPS.SCADA01.00110817")</f>
        <v>05-02-2019</v>
      </c>
      <c r="D602" t="str">
        <f>[1]!DNAGetTime("BBPS.SCADA01.00110817")</f>
        <v>10:07:12</v>
      </c>
      <c r="E602" s="1">
        <v>43587.421666666669</v>
      </c>
      <c r="F602">
        <f>[1]!DNAGetValue("BBPS.SCADA01.00110817")</f>
        <v>73.462875400000001</v>
      </c>
      <c r="G602" t="str">
        <f>[1]!DNAGetStatus("BBPS.SCADA01.00110817")</f>
        <v>OK</v>
      </c>
    </row>
    <row r="603" spans="1:7">
      <c r="A603" t="s">
        <v>419</v>
      </c>
      <c r="B603" t="s">
        <v>441</v>
      </c>
      <c r="C603" t="str">
        <f>[1]!DNAGetDate("BBPS.SCADA01.00110814")</f>
        <v>05-02-2019</v>
      </c>
      <c r="D603" t="str">
        <f>[1]!DNAGetTime("BBPS.SCADA01.00110814")</f>
        <v>10:08:22</v>
      </c>
      <c r="E603" s="1">
        <v>43587.422476851854</v>
      </c>
      <c r="F603">
        <f>[1]!DNAGetValue("BBPS.SCADA01.00110814")</f>
        <v>114.589035</v>
      </c>
      <c r="G603" t="str">
        <f>[1]!DNAGetStatus("BBPS.SCADA01.00110814")</f>
        <v>OK</v>
      </c>
    </row>
    <row r="604" spans="1:7">
      <c r="A604" t="s">
        <v>420</v>
      </c>
      <c r="B604" t="s">
        <v>442</v>
      </c>
      <c r="C604" t="str">
        <f>[1]!DNAGetDate("BBPS.SCADA01.00122288")</f>
        <v>05-02-2019</v>
      </c>
      <c r="D604" t="str">
        <f>[1]!DNAGetTime("BBPS.SCADA01.00122288")</f>
        <v>10:08:55</v>
      </c>
      <c r="E604" s="1">
        <v>43587.422858796293</v>
      </c>
      <c r="F604">
        <f>[1]!DNAGetValue("BBPS.SCADA01.00122288")</f>
        <v>126</v>
      </c>
      <c r="G604" t="str">
        <f>[1]!DNAGetStatus("BBPS.SCADA01.00122288")</f>
        <v>OK</v>
      </c>
    </row>
    <row r="605" spans="1:7">
      <c r="A605" t="s">
        <v>421</v>
      </c>
      <c r="B605" t="s">
        <v>443</v>
      </c>
      <c r="C605" t="str">
        <f>[1]!DNAGetDate("BBPS.SCADA01.00122285")</f>
        <v>05-02-2019</v>
      </c>
      <c r="D605" t="str">
        <f>[1]!DNAGetTime("BBPS.SCADA01.00122285")</f>
        <v>10:09:15</v>
      </c>
      <c r="E605" s="1">
        <v>43587.423090277778</v>
      </c>
      <c r="F605">
        <f>[1]!DNAGetValue("BBPS.SCADA01.00122285")</f>
        <v>128</v>
      </c>
      <c r="G605" t="str">
        <f>[1]!DNAGetStatus("BBPS.SCADA01.00122285")</f>
        <v>OK</v>
      </c>
    </row>
    <row r="606" spans="1:7">
      <c r="A606" t="s">
        <v>422</v>
      </c>
      <c r="B606" t="s">
        <v>444</v>
      </c>
      <c r="C606" t="str">
        <f>[1]!DNAGetDate("BBPS.SCADA01.00122280")</f>
        <v>05-02-2019</v>
      </c>
      <c r="D606" t="str">
        <f>[1]!DNAGetTime("BBPS.SCADA01.00122280")</f>
        <v>10:04:35</v>
      </c>
      <c r="E606" s="1">
        <v>43587.419849537036</v>
      </c>
      <c r="F606">
        <f>[1]!DNAGetValue("BBPS.SCADA01.00122280")</f>
        <v>122</v>
      </c>
      <c r="G606" t="str">
        <f>[1]!DNAGetStatus("BBPS.SCADA01.00122280")</f>
        <v>OK</v>
      </c>
    </row>
    <row r="607" spans="1:7">
      <c r="A607" t="s">
        <v>423</v>
      </c>
      <c r="B607" t="s">
        <v>445</v>
      </c>
      <c r="C607" t="str">
        <f>[1]!DNAGetDate("BBPS.SCADA01.00122275")</f>
        <v>05-02-2019</v>
      </c>
      <c r="D607" t="str">
        <f>[1]!DNAGetTime("BBPS.SCADA01.00122275")</f>
        <v>09:19:15</v>
      </c>
      <c r="E607" s="1">
        <v>43587.388368055559</v>
      </c>
      <c r="F607">
        <f>[1]!DNAGetValue("BBPS.SCADA01.00122275")</f>
        <v>181</v>
      </c>
      <c r="G607" t="str">
        <f>[1]!DNAGetStatus("BBPS.SCADA01.00122275")</f>
        <v>OK</v>
      </c>
    </row>
    <row r="608" spans="1:7">
      <c r="A608" t="s">
        <v>424</v>
      </c>
      <c r="B608" t="s">
        <v>446</v>
      </c>
      <c r="C608" t="str">
        <f>[1]!DNAGetDate("BBPS.SCADA02.00116033")</f>
        <v>05-02-2019</v>
      </c>
      <c r="D608" t="str">
        <f>[1]!DNAGetTime("BBPS.SCADA02.00116033")</f>
        <v>10:09:30</v>
      </c>
      <c r="E608" s="1">
        <v>43587.423263888886</v>
      </c>
      <c r="F608">
        <f>[1]!DNAGetValue("BBPS.SCADA02.00116033")</f>
        <v>119.794304</v>
      </c>
      <c r="G608" t="str">
        <f>[1]!DNAGetStatus("BBPS.SCADA02.00116033")</f>
        <v>OK</v>
      </c>
    </row>
    <row r="609" spans="1:7">
      <c r="A609" t="s">
        <v>425</v>
      </c>
      <c r="B609" t="s">
        <v>447</v>
      </c>
      <c r="C609" t="str">
        <f>[1]!DNAGetDate("BBPS.SCADA02.00116036")</f>
        <v>05-02-2019</v>
      </c>
      <c r="D609" t="str">
        <f>[1]!DNAGetTime("BBPS.SCADA02.00116036")</f>
        <v>10:09:20</v>
      </c>
      <c r="E609" s="1">
        <v>43587.423148148147</v>
      </c>
      <c r="F609">
        <f>[1]!DNAGetValue("BBPS.SCADA02.00116036")</f>
        <v>116.006958</v>
      </c>
      <c r="G609" t="str">
        <f>[1]!DNAGetStatus("BBPS.SCADA02.00116036")</f>
        <v>OK</v>
      </c>
    </row>
    <row r="610" spans="1:7">
      <c r="A610" t="s">
        <v>426</v>
      </c>
      <c r="B610" t="s">
        <v>448</v>
      </c>
      <c r="C610" t="str">
        <f>[1]!DNAGetDate("BBPS.SCADA02.00055164")</f>
        <v>05-02-2019</v>
      </c>
      <c r="D610" t="str">
        <f>[1]!DNAGetTime("BBPS.SCADA02.00055164")</f>
        <v>10:09:20</v>
      </c>
      <c r="E610" s="1">
        <v>43587.423148148147</v>
      </c>
      <c r="F610">
        <f>[1]!DNAGetValue("BBPS.SCADA02.00055164")</f>
        <v>198.222748</v>
      </c>
      <c r="G610" t="str">
        <f>[1]!DNAGetStatus("BBPS.SCADA02.00055164")</f>
        <v>OK</v>
      </c>
    </row>
    <row r="611" spans="1:7">
      <c r="A611" t="s">
        <v>431</v>
      </c>
      <c r="B611" t="s">
        <v>449</v>
      </c>
      <c r="C611" t="str">
        <f>[1]!DNAGetDate("BBPS.SCADA02.00118895")</f>
        <v>05-02-2019</v>
      </c>
      <c r="D611" t="str">
        <f>[1]!DNAGetTime("BBPS.SCADA02.00118895")</f>
        <v>10:09:22</v>
      </c>
      <c r="E611" s="1">
        <v>43587.423171296294</v>
      </c>
      <c r="F611">
        <f>[1]!DNAGetValue("BBPS.SCADA02.00118895")</f>
        <v>74.798835800000006</v>
      </c>
      <c r="G611" t="str">
        <f>[1]!DNAGetStatus("BBPS.SCADA02.00118895")</f>
        <v>OK</v>
      </c>
    </row>
    <row r="612" spans="1:7">
      <c r="A612" t="s">
        <v>432</v>
      </c>
      <c r="B612" t="s">
        <v>450</v>
      </c>
      <c r="C612" t="str">
        <f>[1]!DNAGetDate("BBPS.SCADA02.00118892")</f>
        <v>05-02-2019</v>
      </c>
      <c r="D612" t="str">
        <f>[1]!DNAGetTime("BBPS.SCADA02.00118892")</f>
        <v>10:09:22</v>
      </c>
      <c r="E612" s="1">
        <v>43587.423171296294</v>
      </c>
      <c r="F612">
        <f>[1]!DNAGetValue("BBPS.SCADA02.00118892")</f>
        <v>72.258331299999995</v>
      </c>
      <c r="G612" t="str">
        <f>[1]!DNAGetStatus("BBPS.SCADA02.00118892")</f>
        <v>OK</v>
      </c>
    </row>
    <row r="613" spans="1:7">
      <c r="A613" t="s">
        <v>433</v>
      </c>
      <c r="B613" t="s">
        <v>451</v>
      </c>
      <c r="C613" t="str">
        <f>[1]!DNAGetDate("BBPS.SCADA02.00118889")</f>
        <v>05-02-2019</v>
      </c>
      <c r="D613" t="str">
        <f>[1]!DNAGetTime("BBPS.SCADA02.00118889")</f>
        <v>10:09:28</v>
      </c>
      <c r="E613" s="1">
        <v>43587.42324074074</v>
      </c>
      <c r="F613">
        <f>[1]!DNAGetValue("BBPS.SCADA02.00118889")</f>
        <v>106.985832</v>
      </c>
      <c r="G613" t="str">
        <f>[1]!DNAGetStatus("BBPS.SCADA02.00118889")</f>
        <v>OK</v>
      </c>
    </row>
    <row r="614" spans="1:7">
      <c r="A614" t="s">
        <v>427</v>
      </c>
      <c r="B614" t="s">
        <v>452</v>
      </c>
      <c r="C614" t="str">
        <f>[1]!DNAGetDate("BBPS.SCADA02.00115916")</f>
        <v>05-02-2019</v>
      </c>
      <c r="D614" t="str">
        <f>[1]!DNAGetTime("BBPS.SCADA02.00115916")</f>
        <v>10:09:04</v>
      </c>
      <c r="E614" s="1">
        <v>43587.422962962963</v>
      </c>
      <c r="F614">
        <f>[1]!DNAGetValue("BBPS.SCADA02.00115916")</f>
        <v>86.671653699999993</v>
      </c>
      <c r="G614" t="str">
        <f>[1]!DNAGetStatus("BBPS.SCADA02.00115916")</f>
        <v>OK</v>
      </c>
    </row>
    <row r="615" spans="1:7">
      <c r="A615" t="s">
        <v>428</v>
      </c>
      <c r="B615" t="s">
        <v>453</v>
      </c>
      <c r="C615" t="str">
        <f>[1]!DNAGetDate("BBPS.SCADA02.00115907")</f>
        <v>05-02-2019</v>
      </c>
      <c r="D615" t="str">
        <f>[1]!DNAGetTime("BBPS.SCADA02.00115907")</f>
        <v>10:09:04</v>
      </c>
      <c r="E615" s="1">
        <v>43587.422962962963</v>
      </c>
      <c r="F615">
        <f>[1]!DNAGetValue("BBPS.SCADA02.00115907")</f>
        <v>46.350250199999998</v>
      </c>
      <c r="G615" t="str">
        <f>[1]!DNAGetStatus("BBPS.SCADA02.00115907")</f>
        <v>OK</v>
      </c>
    </row>
    <row r="616" spans="1:7">
      <c r="A616" t="s">
        <v>429</v>
      </c>
      <c r="B616" t="s">
        <v>454</v>
      </c>
      <c r="C616" t="str">
        <f>[1]!DNAGetDate("BBPS.SCADA01.00115895")</f>
        <v>05-02-2019</v>
      </c>
      <c r="D616" t="str">
        <f>[1]!DNAGetTime("BBPS.SCADA01.00115895")</f>
        <v>10:09:04</v>
      </c>
      <c r="E616" s="1">
        <v>43587.422962962963</v>
      </c>
      <c r="F616">
        <f>[1]!DNAGetValue("BBPS.SCADA01.00115895")</f>
        <v>90.245742800000002</v>
      </c>
      <c r="G616" t="str">
        <f>[1]!DNAGetStatus("BBPS.SCADA01.00115895")</f>
        <v>OK</v>
      </c>
    </row>
    <row r="617" spans="1:7">
      <c r="A617" t="s">
        <v>430</v>
      </c>
      <c r="B617" t="s">
        <v>455</v>
      </c>
      <c r="C617" t="str">
        <f>[1]!DNAGetDate("BBPS.SCADA01.00115898")</f>
        <v>05-02-2019</v>
      </c>
      <c r="D617" t="str">
        <f>[1]!DNAGetTime("BBPS.SCADA01.00115898")</f>
        <v>10:09:04</v>
      </c>
      <c r="E617" s="1">
        <v>43587.422962962963</v>
      </c>
      <c r="F617">
        <f>[1]!DNAGetValue("BBPS.SCADA01.00115898")</f>
        <v>56.774402600000002</v>
      </c>
      <c r="G617" t="str">
        <f>[1]!DNAGetStatus("BBPS.SCADA01.00115898")</f>
        <v>OK</v>
      </c>
    </row>
    <row r="618" spans="1:7">
      <c r="A618" t="s">
        <v>434</v>
      </c>
      <c r="B618" t="s">
        <v>456</v>
      </c>
      <c r="C618" t="str">
        <f>[1]!DNAGetDate("BBPS.SCADA01.00125831")</f>
        <v>05-02-2019</v>
      </c>
      <c r="D618" t="str">
        <f>[1]!DNAGetTime("BBPS.SCADA01.00125831")</f>
        <v>10:09:32</v>
      </c>
      <c r="E618" s="1">
        <v>43587.42328703704</v>
      </c>
      <c r="F618">
        <f>[1]!DNAGetValue("BBPS.SCADA01.00125831")</f>
        <v>106.414902</v>
      </c>
      <c r="G618" t="str">
        <f>[1]!DNAGetStatus("BBPS.SCADA01.00125831")</f>
        <v>OK</v>
      </c>
    </row>
    <row r="619" spans="1:7">
      <c r="A619" t="s">
        <v>435</v>
      </c>
      <c r="B619" t="s">
        <v>457</v>
      </c>
      <c r="C619" t="str">
        <f>[1]!DNAGetDate("BBPS.SCADA01.00125856")</f>
        <v>05-02-2019</v>
      </c>
      <c r="D619" t="str">
        <f>[1]!DNAGetTime("BBPS.SCADA01.00125856")</f>
        <v>10:09:32</v>
      </c>
      <c r="E619" s="1">
        <v>43587.42328703704</v>
      </c>
      <c r="F619">
        <f>[1]!DNAGetValue("BBPS.SCADA01.00125856")</f>
        <v>116.2761</v>
      </c>
      <c r="G619" t="str">
        <f>[1]!DNAGetStatus("BBPS.SCADA01.00125856")</f>
        <v>OK</v>
      </c>
    </row>
    <row r="620" spans="1:7">
      <c r="A620" t="s">
        <v>436</v>
      </c>
      <c r="B620" t="s">
        <v>458</v>
      </c>
      <c r="C620" t="str">
        <f>[1]!DNAGetDate("BBPS.SCADA03.00258235")</f>
        <v>05-02-2019</v>
      </c>
      <c r="D620" t="str">
        <f>[1]!DNAGetTime("BBPS.SCADA03.00258235")</f>
        <v>10:09:26</v>
      </c>
      <c r="E620" s="1">
        <v>43587.423217592594</v>
      </c>
      <c r="F620">
        <f>[1]!DNAGetValue("BBPS.SCADA03.00258235")</f>
        <v>179.68687399999999</v>
      </c>
      <c r="G620" t="str">
        <f>[1]!DNAGetStatus("BBPS.SCADA03.00258235")</f>
        <v>OK</v>
      </c>
    </row>
    <row r="621" spans="1:7">
      <c r="A621" t="s">
        <v>437</v>
      </c>
      <c r="B621" t="s">
        <v>460</v>
      </c>
      <c r="C621" t="str">
        <f>[1]!DNAGetDate("BBPS.SCADA03.00332495")</f>
        <v>05-02-2019</v>
      </c>
      <c r="D621" t="str">
        <f>[1]!DNAGetTime("BBPS.SCADA03.00332495")</f>
        <v>10:09:22</v>
      </c>
      <c r="E621" s="1">
        <v>43587.423171296294</v>
      </c>
      <c r="F621">
        <f>[1]!DNAGetValue("BBPS.SCADA03.00332495")</f>
        <v>71.862617499999999</v>
      </c>
      <c r="G621" t="str">
        <f>[1]!DNAGetStatus("BBPS.SCADA03.00332495")</f>
        <v>OK</v>
      </c>
    </row>
    <row r="622" spans="1:7">
      <c r="A622" t="s">
        <v>438</v>
      </c>
      <c r="B622" t="s">
        <v>459</v>
      </c>
      <c r="C622" t="str">
        <f>[1]!DNAGetDate("BBPS.SCADA03.00332492")</f>
        <v>05-02-2019</v>
      </c>
      <c r="D622" t="str">
        <f>[1]!DNAGetTime("BBPS.SCADA03.00332492")</f>
        <v>10:09:22</v>
      </c>
      <c r="E622" s="1">
        <v>43587.423171296294</v>
      </c>
      <c r="F622">
        <f>[1]!DNAGetValue("BBPS.SCADA03.00332492")</f>
        <v>71.516655</v>
      </c>
      <c r="G622" t="str">
        <f>[1]!DNAGetStatus("BBPS.SCADA03.00332492")</f>
        <v>OK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SiemenScada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2019-02-13T10:00:38Z</dcterms:modified>
</cp:coreProperties>
</file>